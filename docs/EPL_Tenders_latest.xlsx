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Buyer Contacts" sheetId="2" state="visible" r:id="rId2"/>
    <sheet name="About" sheetId="3" state="visible" r:id="rId3"/>
  </sheets>
  <definedNames>
    <definedName name="_xlnm._FilterDatabase" localSheetId="0" hidden="1">'Opportunities'!$A$1:$AF$5</definedName>
    <definedName name="_xlnm._FilterDatabase" localSheetId="1" hidden="1">'Buyer Contacts'!$A$1:$I$5</definedName>
  </definedNames>
  <calcPr calcId="124519" fullCalcOnLoad="1"/>
</workbook>
</file>

<file path=xl/styles.xml><?xml version="1.0" encoding="utf-8"?>
<styleSheet xmlns="http://schemas.openxmlformats.org/spreadsheetml/2006/main">
  <numFmts count="5">
    <numFmt numFmtId="164" formatCode="£#,##0"/>
    <numFmt numFmtId="165" formatCode="yyyy-mm-dd h:mm:ss"/>
    <numFmt numFmtId="166" formatCode="dd/mm/yyyy"/>
    <numFmt numFmtId="167" formatCode="dd/mm/yyyy hh:mm"/>
    <numFmt numFmtId="168" formatCode="0;[Red]-0"/>
  </numFmts>
  <fonts count="5">
    <font>
      <name val="Calibri"/>
      <family val="2"/>
      <color theme="1"/>
      <sz val="11"/>
      <scheme val="minor"/>
    </font>
    <font>
      <name val="Arial"/>
      <b val="1"/>
      <color rgb="00FFFFFF"/>
    </font>
    <font>
      <name val="Arial"/>
      <sz val="10"/>
    </font>
    <font>
      <name val="Arial"/>
      <color rgb="000563C1"/>
      <sz val="10"/>
      <u val="single"/>
    </font>
    <font>
      <name val="Arial"/>
      <b val="1"/>
    </font>
  </fonts>
  <fills count="3">
    <fill>
      <patternFill/>
    </fill>
    <fill>
      <patternFill patternType="gray125"/>
    </fill>
    <fill>
      <patternFill patternType="solid">
        <fgColor rgb="001F4E3D"/>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1"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166" fontId="2" fillId="0" borderId="0" applyAlignment="1" pivotButton="0" quotePrefix="0" xfId="0">
      <alignment vertical="top"/>
    </xf>
    <xf numFmtId="167" fontId="2" fillId="0" borderId="0" applyAlignment="1" pivotButton="0" quotePrefix="0" xfId="0">
      <alignment vertical="top"/>
    </xf>
    <xf numFmtId="168" fontId="2" fillId="0" borderId="0" applyAlignment="1" pivotButton="0" quotePrefix="0" xfId="0">
      <alignment vertical="top"/>
    </xf>
    <xf numFmtId="0" fontId="3" fillId="0" borderId="0" applyAlignment="1" pivotButton="0" quotePrefix="0" xfId="0">
      <alignment vertical="top"/>
    </xf>
    <xf numFmtId="0" fontId="4" fillId="0" borderId="0" pivotButton="0" quotePrefix="0" xfId="0"/>
    <xf numFmtId="0" fontId="2" fillId="0" borderId="0" pivotButton="0" quotePrefix="0" xfId="0"/>
  </cellXfs>
  <cellStyles count="1">
    <cellStyle name="Normal" xfId="0" builtinId="0" hidden="0"/>
  </cellStyles>
  <dxfs count="2">
    <dxf>
      <fill>
        <patternFill patternType="solid">
          <fgColor rgb="00FCE4D6"/>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publictendersscotland.publiccontractsscotland.gov.uk" TargetMode="External" Id="rId1" /><Relationship Type="http://schemas.openxmlformats.org/officeDocument/2006/relationships/hyperlink" Target="https://www.find-tender.service.gov.uk/Notice/085159-2026" TargetMode="External" Id="rId2" /><Relationship Type="http://schemas.openxmlformats.org/officeDocument/2006/relationships/hyperlink" Target="http://www.publictendersscotland.publiccontractsscotland.gov.uk" TargetMode="External" Id="rId3" /><Relationship Type="http://schemas.openxmlformats.org/officeDocument/2006/relationships/hyperlink" Target="https://www.publictendersscotland.publiccontractsscotland.gov.uk/web/login.html" TargetMode="External" Id="rId4" /><Relationship Type="http://schemas.openxmlformats.org/officeDocument/2006/relationships/hyperlink" Target="https://www.find-tender.service.gov.uk/Notice/090994-2026" TargetMode="External" Id="rId5" /><Relationship Type="http://schemas.openxmlformats.org/officeDocument/2006/relationships/hyperlink" Target="https://www.publictendersscotland.publiccontractsscotland.gov.uk/web/login.html" TargetMode="External" Id="rId6" /><Relationship Type="http://schemas.openxmlformats.org/officeDocument/2006/relationships/hyperlink" Target="http://www.publiccontractsscotland.gov.uk" TargetMode="External" Id="rId7" /><Relationship Type="http://schemas.openxmlformats.org/officeDocument/2006/relationships/hyperlink" Target="https://www.find-tender.service.gov.uk/Notice/082366-2026" TargetMode="External" Id="rId8" /><Relationship Type="http://schemas.openxmlformats.org/officeDocument/2006/relationships/hyperlink" Target="http://www.publiccontractsscotland.gov.uk" TargetMode="External" Id="rId9" /><Relationship Type="http://schemas.openxmlformats.org/officeDocument/2006/relationships/hyperlink" Target="https://www.find-tender.service.gov.uk/Notice/082401-2026" TargetMode="External" Id="rId10" /><Relationship Type="http://schemas.openxmlformats.org/officeDocument/2006/relationships/hyperlink" Target="https://www.publictenderscotland.publiccontractsscotland.gov.uk/" TargetMode="External" Id="rId11" /></Relationships>
</file>

<file path=xl/worksheets/_rels/sheet2.xml.rels><Relationships xmlns="http://schemas.openxmlformats.org/package/2006/relationships"><Relationship Type="http://schemas.openxmlformats.org/officeDocument/2006/relationships/hyperlink" Target="https://www.publictendersscotland.publiccontractsscotland.gov.uk/web/login.html" TargetMode="External" Id="rId1" /><Relationship Type="http://schemas.openxmlformats.org/officeDocument/2006/relationships/hyperlink" Target="https://www.publictenderscotland.publiccontractsscotland.gov.uk/" TargetMode="External" Id="rId2" /><Relationship Type="http://schemas.openxmlformats.org/officeDocument/2006/relationships/hyperlink" Target="http://www.publictendersscotland.publiccontractsscotland.gov.uk" TargetMode="External" Id="rId3" /><Relationship Type="http://schemas.openxmlformats.org/officeDocument/2006/relationships/hyperlink" Target="http://www.publiccontractsscotland.gov.uk" TargetMode="External" Id="rId4" /></Relationships>
</file>

<file path=xl/worksheets/sheet1.xml><?xml version="1.0" encoding="utf-8"?>
<worksheet xmlns="http://schemas.openxmlformats.org/spreadsheetml/2006/main">
  <sheetPr>
    <outlinePr summaryBelow="1" summaryRight="1"/>
    <pageSetUpPr/>
  </sheetPr>
  <dimension ref="A1:AF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9" customWidth="1" min="3" max="3"/>
    <col width="50" customWidth="1" min="4" max="4"/>
    <col width="32" customWidth="1" min="5" max="5"/>
    <col width="20" customWidth="1" min="6" max="6"/>
    <col width="30" customWidth="1" min="7" max="7"/>
    <col width="16" customWidth="1" min="8" max="8"/>
    <col width="16" customWidth="1" min="9" max="9"/>
    <col width="14" customWidth="1" min="10" max="10"/>
    <col width="12" customWidth="1" min="11" max="11"/>
    <col width="16" customWidth="1" min="12" max="12"/>
    <col width="9" customWidth="1" min="13" max="13"/>
    <col width="16" customWidth="1" min="14" max="14"/>
    <col width="12" customWidth="1" min="15" max="15"/>
    <col width="10" customWidth="1" min="16" max="16"/>
    <col width="18" customWidth="1" min="17" max="17"/>
    <col width="10" customWidth="1" min="18" max="18"/>
    <col width="6" customWidth="1" min="19" max="19"/>
    <col width="8" customWidth="1" min="20" max="20"/>
    <col width="40" customWidth="1" min="21" max="21"/>
    <col width="40" customWidth="1" min="22" max="22"/>
    <col width="30" customWidth="1" min="23" max="23"/>
    <col width="18" customWidth="1" min="24" max="24"/>
    <col width="30" customWidth="1" min="25" max="25"/>
    <col width="30" customWidth="1" min="26" max="26"/>
    <col width="30" customWidth="1" min="27" max="27"/>
    <col width="24" customWidth="1" min="28" max="28"/>
    <col width="30" customWidth="1" min="29" max="29"/>
    <col width="30" customWidth="1" min="30" max="30"/>
    <col width="80" customWidth="1" min="31" max="31"/>
    <col width="14" customWidth="1" min="32" max="32"/>
  </cols>
  <sheetData>
    <row r="1" ht="32" customHeight="1">
      <c r="A1" s="1" t="inlineStr">
        <is>
          <t>Score</t>
        </is>
      </c>
      <c r="B1" s="1" t="inlineStr">
        <is>
          <t>Category</t>
        </is>
      </c>
      <c r="C1" s="1" t="inlineStr">
        <is>
          <t>Stage</t>
        </is>
      </c>
      <c r="D1" s="1" t="inlineStr">
        <is>
          <t>Title</t>
        </is>
      </c>
      <c r="E1" s="1" t="inlineStr">
        <is>
          <t>Buyer</t>
        </is>
      </c>
      <c r="F1" s="1" t="inlineStr">
        <is>
          <t>Contact name</t>
        </is>
      </c>
      <c r="G1" s="1" t="inlineStr">
        <is>
          <t>Email</t>
        </is>
      </c>
      <c r="H1" s="1" t="inlineStr">
        <is>
          <t>Phone</t>
        </is>
      </c>
      <c r="I1" s="1" t="inlineStr">
        <is>
          <t>Region</t>
        </is>
      </c>
      <c r="J1" s="1" t="inlineStr">
        <is>
          <t>Value</t>
        </is>
      </c>
      <c r="K1" s="1" t="inlineStr">
        <is>
          <t>Published</t>
        </is>
      </c>
      <c r="L1" s="1" t="inlineStr">
        <is>
          <t>Deadline</t>
        </is>
      </c>
      <c r="M1" s="1" t="inlineStr">
        <is>
          <t>Days left</t>
        </is>
      </c>
      <c r="N1" s="1" t="inlineStr">
        <is>
          <t>Clarification deadline</t>
        </is>
      </c>
      <c r="O1" s="1" t="inlineStr">
        <is>
          <t>Contract start</t>
        </is>
      </c>
      <c r="P1" s="1" t="inlineStr">
        <is>
          <t>Duration (days)</t>
        </is>
      </c>
      <c r="Q1" s="1" t="inlineStr">
        <is>
          <t>Procedure</t>
        </is>
      </c>
      <c r="R1" s="1" t="inlineStr">
        <is>
          <t>Framework</t>
        </is>
      </c>
      <c r="S1" s="1" t="inlineStr">
        <is>
          <t>Lots</t>
        </is>
      </c>
      <c r="T1" s="1" t="inlineStr">
        <is>
          <t>SME suitable</t>
        </is>
      </c>
      <c r="U1" s="1" t="inlineStr">
        <is>
          <t>Award criteria</t>
        </is>
      </c>
      <c r="V1" s="1" t="inlineStr">
        <is>
          <t>Selection criteria</t>
        </is>
      </c>
      <c r="W1" s="1" t="inlineStr">
        <is>
          <t>Matched keywords</t>
        </is>
      </c>
      <c r="X1" s="1" t="inlineStr">
        <is>
          <t>CPV codes</t>
        </is>
      </c>
      <c r="Y1" s="1" t="inlineStr">
        <is>
          <t>Tender portal</t>
        </is>
      </c>
      <c r="Z1" s="1" t="inlineStr">
        <is>
          <t>Notice link</t>
        </is>
      </c>
      <c r="AA1" s="1" t="inlineStr">
        <is>
          <t>Documents</t>
        </is>
      </c>
      <c r="AB1" s="1" t="inlineStr">
        <is>
          <t>Buyer website</t>
        </is>
      </c>
      <c r="AC1" s="1" t="inlineStr">
        <is>
          <t>Buyer address</t>
        </is>
      </c>
      <c r="AD1" s="1" t="inlineStr">
        <is>
          <t>Other contacts</t>
        </is>
      </c>
      <c r="AE1" s="1" t="inlineStr">
        <is>
          <t>Description</t>
        </is>
      </c>
      <c r="AF1" s="1" t="inlineStr">
        <is>
          <t>Source</t>
        </is>
      </c>
    </row>
    <row r="2">
      <c r="A2" s="2" t="n">
        <v>10</v>
      </c>
      <c r="B2" s="3" t="inlineStr">
        <is>
          <t>Carbon / Compliance</t>
        </is>
      </c>
      <c r="C2" s="3" t="inlineStr">
        <is>
          <t>tender</t>
        </is>
      </c>
      <c r="D2" s="3" t="inlineStr">
        <is>
          <t>Development of final EPC Wrapper for Scotland</t>
        </is>
      </c>
      <c r="E2" s="3" t="inlineStr">
        <is>
          <t>Scottish Government</t>
        </is>
      </c>
      <c r="F2" s="3" t="n"/>
      <c r="G2" s="3" t="inlineStr">
        <is>
          <t>Paul.packett@gov.scot</t>
        </is>
      </c>
      <c r="H2" s="3" t="n"/>
      <c r="I2" s="3" t="inlineStr">
        <is>
          <t>UK</t>
        </is>
      </c>
      <c r="J2" s="4" t="n"/>
      <c r="K2" s="5" t="n">
        <v>46274.31138888889</v>
      </c>
      <c r="L2" s="6" t="n">
        <v>46304.45833333334</v>
      </c>
      <c r="M2" s="7">
        <f>IF(L2="","",INT(L2-NOW()))</f>
        <v/>
      </c>
      <c r="N2" s="6" t="n"/>
      <c r="O2" s="5" t="n"/>
      <c r="P2" s="2" t="n">
        <v>180</v>
      </c>
      <c r="Q2" s="3" t="inlineStr">
        <is>
          <t>Open procedure</t>
        </is>
      </c>
      <c r="R2" s="3" t="n"/>
      <c r="S2" s="3" t="n">
        <v>1</v>
      </c>
      <c r="T2" s="3" t="n"/>
      <c r="U2" s="3" t="inlineStr">
        <is>
          <t>Technical (70); price (30)</t>
        </is>
      </c>
      <c r="V2" s="3" t="inlineStr">
        <is>
          <t>economic (List and brief description of selection criteria: List and brief description of selection criteria: 4B.4 -The bidder co…); technical (List and brief description of selection criteria: List and brief description of selection criteria: 4C.7 - Provide deta…)</t>
        </is>
      </c>
      <c r="W2" s="3" t="inlineStr">
        <is>
          <t>epc</t>
        </is>
      </c>
      <c r="X2" s="3" t="inlineStr">
        <is>
          <t>71314000, 71314300</t>
        </is>
      </c>
      <c r="Y2" s="8" t="inlineStr">
        <is>
          <t>http://www.publictendersscotland.publiccontractsscotland.gov.uk</t>
        </is>
      </c>
      <c r="Z2" s="8" t="inlineStr">
        <is>
          <t>https://www.find-tender.service.gov.uk/Notice/085159-2026</t>
        </is>
      </c>
      <c r="AA2" s="3" t="n"/>
      <c r="AB2" s="8" t="inlineStr">
        <is>
          <t>http://www.publictendersscotland.publiccontractsscotland.gov.uk</t>
        </is>
      </c>
      <c r="AC2" s="3" t="inlineStr">
        <is>
          <t>5 Atlantic Quay, 150 Broomielaw, Glasgow, UKM, G2 8LU</t>
        </is>
      </c>
      <c r="AD2" s="3" t="n"/>
      <c r="AE2" s="3" t="inlineStr">
        <is>
          <t>The Scottish Government has a requirement to place a contract with an external service provider for the provision of Development of final EPC Wrapper for Scotland.</t>
        </is>
      </c>
      <c r="AF2" s="3" t="inlineStr">
        <is>
          <t>Find a Tender</t>
        </is>
      </c>
    </row>
    <row r="3">
      <c r="A3" s="2" t="n">
        <v>5</v>
      </c>
      <c r="B3" s="3" t="inlineStr">
        <is>
          <t>Renewables / BESS / EV</t>
        </is>
      </c>
      <c r="C3" s="3" t="inlineStr">
        <is>
          <t>tender</t>
        </is>
      </c>
      <c r="D3" s="3" t="inlineStr">
        <is>
          <t>Measured Term Contract for Combined Re-Roofing, Re-Rendering, EWI and Solar PV Programme</t>
        </is>
      </c>
      <c r="E3" s="3" t="inlineStr">
        <is>
          <t>North Ayrshire Council</t>
        </is>
      </c>
      <c r="F3" s="3" t="inlineStr">
        <is>
          <t>Laura Keane</t>
        </is>
      </c>
      <c r="G3" s="3" t="inlineStr">
        <is>
          <t>laurakeane@north-ayrshire.gov.uk</t>
        </is>
      </c>
      <c r="H3" s="3" t="inlineStr">
        <is>
          <t>+44 1294310000</t>
        </is>
      </c>
      <c r="I3" s="3" t="inlineStr">
        <is>
          <t>UKM93</t>
        </is>
      </c>
      <c r="J3" s="4" t="n">
        <v>44894399</v>
      </c>
      <c r="K3" s="5" t="n">
        <v>46290.5117824074</v>
      </c>
      <c r="L3" s="6" t="n">
        <v>46321.5</v>
      </c>
      <c r="M3" s="7">
        <f>IF(L3="","",INT(L3-NOW()))</f>
        <v/>
      </c>
      <c r="N3" s="6" t="n"/>
      <c r="O3" s="5" t="n"/>
      <c r="P3" s="2" t="n">
        <v>1080</v>
      </c>
      <c r="Q3" s="3" t="inlineStr">
        <is>
          <t>Open procedure</t>
        </is>
      </c>
      <c r="R3" s="3" t="n"/>
      <c r="S3" s="3" t="n">
        <v>1</v>
      </c>
      <c r="T3" s="3" t="n"/>
      <c r="U3" s="3" t="inlineStr">
        <is>
          <t>Quality (20); Price (80)</t>
        </is>
      </c>
      <c r="V3" s="3" t="inlineStr">
        <is>
          <t>suitability (If required, bidders are required to be enrolled in the relevant professional or trade registers within the country in …)</t>
        </is>
      </c>
      <c r="W3" s="3" t="inlineStr">
        <is>
          <t>photovoltaic, solar pv</t>
        </is>
      </c>
      <c r="X3" s="3" t="inlineStr">
        <is>
          <t>45260000, 45320000, 50700000, 45261215</t>
        </is>
      </c>
      <c r="Y3" s="8" t="inlineStr">
        <is>
          <t>https://www.publictendersscotland.publiccontractsscotland.gov.uk/web/login.html</t>
        </is>
      </c>
      <c r="Z3" s="8" t="inlineStr">
        <is>
          <t>https://www.find-tender.service.gov.uk/Notice/090994-2026</t>
        </is>
      </c>
      <c r="AA3" s="3" t="n"/>
      <c r="AB3" s="8" t="inlineStr">
        <is>
          <t>https://www.publictendersscotland.publiccontractsscotland.gov.uk/web/login.html</t>
        </is>
      </c>
      <c r="AC3" s="3" t="inlineStr">
        <is>
          <t>Cunninghame House, Friars Croft, Irvine, UKM93, KA12 8EE</t>
        </is>
      </c>
      <c r="AD3" s="3" t="n"/>
      <c r="AE3" s="3" t="inlineStr">
        <is>
          <t>North Ayrshire Council ("the Council") invites tenders for the provision of a Measured `Term Contract for a combined re-roofing, re-rendering, external wall insulation and solar photovoltaic (PV) installation programme to residential properties at various locations throughout North Ayrshire. The initial contract period will be three (3) years from the commencement date of 1 April 2027 to 31 March 2030, with the option to extend for up to two (2) additional periods of twelve (12) months each, at the sole discretion of the Council.</t>
        </is>
      </c>
      <c r="AF3" s="3" t="inlineStr">
        <is>
          <t>Find a Tender</t>
        </is>
      </c>
    </row>
    <row r="4">
      <c r="A4" s="2" t="n">
        <v>9</v>
      </c>
      <c r="B4" s="3" t="inlineStr">
        <is>
          <t>Renewables / BESS / EV</t>
        </is>
      </c>
      <c r="C4" s="3" t="inlineStr">
        <is>
          <t>tender</t>
        </is>
      </c>
      <c r="D4" s="3" t="inlineStr">
        <is>
          <t>EV Charging Infrastructure</t>
        </is>
      </c>
      <c r="E4" s="3" t="inlineStr">
        <is>
          <t>University of Dundee</t>
        </is>
      </c>
      <c r="F4" s="3" t="inlineStr">
        <is>
          <t>Stewart Hamilton Kerr</t>
        </is>
      </c>
      <c r="G4" s="3" t="inlineStr">
        <is>
          <t>s.v.kerr@dundee.ac.uk</t>
        </is>
      </c>
      <c r="H4" s="3" t="inlineStr">
        <is>
          <t>+44 1382386810</t>
        </is>
      </c>
      <c r="I4" s="3" t="inlineStr">
        <is>
          <t>UKM71, Dundee</t>
        </is>
      </c>
      <c r="J4" s="4" t="n">
        <v>160000</v>
      </c>
      <c r="K4" s="5" t="n">
        <v>46262.66186342593</v>
      </c>
      <c r="L4" s="6" t="n">
        <v>46300.45833333334</v>
      </c>
      <c r="M4" s="7">
        <f>IF(L4="","",INT(L4-NOW()))</f>
        <v/>
      </c>
      <c r="N4" s="6" t="n"/>
      <c r="O4" s="5" t="n"/>
      <c r="P4" s="2" t="n">
        <v>7200</v>
      </c>
      <c r="Q4" s="3" t="inlineStr">
        <is>
          <t>Open procedure</t>
        </is>
      </c>
      <c r="R4" s="3" t="n"/>
      <c r="S4" s="3" t="n">
        <v>1</v>
      </c>
      <c r="T4" s="3" t="n"/>
      <c r="U4" s="3" t="inlineStr">
        <is>
          <t>Quality (60); price (40)</t>
        </is>
      </c>
      <c r="V4" s="3" t="n"/>
      <c r="W4" s="3" t="inlineStr">
        <is>
          <t>charging infrastructure, electric vehicle charging, ev charging</t>
        </is>
      </c>
      <c r="X4" s="3" t="inlineStr">
        <is>
          <t>50230000, 31158000, 31158100, 34900000, 31600000, 31610000, 34144900, 45311000, 45317000, 50000000</t>
        </is>
      </c>
      <c r="Y4" s="8" t="inlineStr">
        <is>
          <t>http://www.publiccontractsscotland.gov.uk</t>
        </is>
      </c>
      <c r="Z4" s="8" t="inlineStr">
        <is>
          <t>https://www.find-tender.service.gov.uk/Notice/082366-2026</t>
        </is>
      </c>
      <c r="AA4" s="3" t="n"/>
      <c r="AB4" s="8" t="inlineStr">
        <is>
          <t>http://www.publiccontractsscotland.gov.uk</t>
        </is>
      </c>
      <c r="AC4" s="3" t="inlineStr">
        <is>
          <t>Procurement, 3rd Floor, Tower Building, Nethergate, Dundee, UKM71, DD1 4HN</t>
        </is>
      </c>
      <c r="AD4" s="3" t="n"/>
      <c r="AE4" s="3" t="inlineStr">
        <is>
          <t>The University require a new Contract for the Supply and maintenance of fully funded EV Charger Infrastructure. The current charge points require upgrading, due to their age and they are out of manufactures warranty. This new Contract opportunity will be for - Supply, Installation and Maintenance of Electric Vehicle Charging Equipment and Associated Items.</t>
        </is>
      </c>
      <c r="AF4" s="3" t="inlineStr">
        <is>
          <t>Find a Tender</t>
        </is>
      </c>
    </row>
    <row r="5">
      <c r="A5" s="2" t="n">
        <v>4</v>
      </c>
      <c r="B5" s="3" t="inlineStr">
        <is>
          <t>Carbon / Compliance</t>
        </is>
      </c>
      <c r="C5" s="3" t="inlineStr">
        <is>
          <t>tender</t>
        </is>
      </c>
      <c r="D5" s="3" t="inlineStr">
        <is>
          <t>Net Zero - Retrofit Works (Externals) - Design and Build</t>
        </is>
      </c>
      <c r="E5" s="3" t="inlineStr">
        <is>
          <t>Renfrewshire Council</t>
        </is>
      </c>
      <c r="F5" s="3" t="inlineStr">
        <is>
          <t>Kevin Milliken</t>
        </is>
      </c>
      <c r="G5" s="3" t="inlineStr">
        <is>
          <t>kevin.milliken@renfrewshire.gov.uk</t>
        </is>
      </c>
      <c r="H5" s="3" t="inlineStr">
        <is>
          <t>+44 3003000300</t>
        </is>
      </c>
      <c r="I5" s="3" t="inlineStr">
        <is>
          <t>UKM83, Renfrewshire</t>
        </is>
      </c>
      <c r="J5" s="4" t="n">
        <v>135000000</v>
      </c>
      <c r="K5" s="5" t="n">
        <v>46265.35826388889</v>
      </c>
      <c r="L5" s="6" t="n">
        <v>46300.45833333334</v>
      </c>
      <c r="M5" s="7">
        <f>IF(L5="","",INT(L5-NOW()))</f>
        <v/>
      </c>
      <c r="N5" s="6" t="n"/>
      <c r="O5" s="5" t="n"/>
      <c r="P5" s="2" t="n">
        <v>2520</v>
      </c>
      <c r="Q5" s="3" t="inlineStr">
        <is>
          <t>Restricted procedure</t>
        </is>
      </c>
      <c r="R5" s="3" t="n"/>
      <c r="S5" s="3" t="n">
        <v>1</v>
      </c>
      <c r="T5" s="3" t="n"/>
      <c r="U5" s="3" t="inlineStr">
        <is>
          <t>Quality (60); price (40)</t>
        </is>
      </c>
      <c r="V5" s="3" t="inlineStr">
        <is>
          <t>suitability (Please refer to the Invitation to Participate Document.)</t>
        </is>
      </c>
      <c r="W5" s="3" t="inlineStr">
        <is>
          <t>net zero</t>
        </is>
      </c>
      <c r="X5" s="3" t="inlineStr">
        <is>
          <t>45260000, 45320000, 45210000</t>
        </is>
      </c>
      <c r="Y5" s="3" t="n"/>
      <c r="Z5" s="8" t="inlineStr">
        <is>
          <t>https://www.find-tender.service.gov.uk/Notice/082401-2026</t>
        </is>
      </c>
      <c r="AA5" s="3" t="n"/>
      <c r="AB5" s="8" t="inlineStr">
        <is>
          <t>https://www.publictenderscotland.publiccontractsscotland.gov.uk/</t>
        </is>
      </c>
      <c r="AC5" s="3" t="inlineStr">
        <is>
          <t>Renfrewshire House, Cotton Street, Paisley, UKM83, PA1 1JB</t>
        </is>
      </c>
      <c r="AD5" s="3" t="n"/>
      <c r="AE5" s="3" t="inlineStr">
        <is>
          <t>This Contract is for the Design, Build and Delivery of retrofit external works to existing wholly owned and mixed-tenure residential properties throughout Renfrewshire. The primary objective is to enhance the energy efficiency and thermal performance of the housing stock. For the initial contract term of 2 years, the Council will provide the design information, using the designs submitted by ECD Architects who were contracted to provide this service. The appointed Contractor will be responsible for the supply and installation of the works only during the initial term. From the commencement of the first extension period, responsibility will transfer to the Contractor, who will undertake both the design and build elements for the remainder of the Contract.</t>
        </is>
      </c>
      <c r="AF5" s="3" t="inlineStr">
        <is>
          <t>Find a Tender</t>
        </is>
      </c>
    </row>
  </sheetData>
  <autoFilter ref="A1:AF5"/>
  <conditionalFormatting sqref="M2:M5">
    <cfRule type="cellIs" priority="1" operator="between" dxfId="0">
      <formula>0</formula>
      <formula>14</formula>
    </cfRule>
    <cfRule type="cellIs" priority="2" operator="greaterThan" dxfId="1">
      <formula>14</formula>
    </cfRule>
  </conditionalFormatting>
  <hyperlinks>
    <hyperlink xmlns:r="http://schemas.openxmlformats.org/officeDocument/2006/relationships" ref="Y2" r:id="rId1"/>
    <hyperlink xmlns:r="http://schemas.openxmlformats.org/officeDocument/2006/relationships" ref="Z2" r:id="rId2"/>
    <hyperlink xmlns:r="http://schemas.openxmlformats.org/officeDocument/2006/relationships" ref="AB2" r:id="rId3"/>
    <hyperlink xmlns:r="http://schemas.openxmlformats.org/officeDocument/2006/relationships" ref="Y3" r:id="rId4"/>
    <hyperlink xmlns:r="http://schemas.openxmlformats.org/officeDocument/2006/relationships" ref="Z3" r:id="rId5"/>
    <hyperlink xmlns:r="http://schemas.openxmlformats.org/officeDocument/2006/relationships" ref="AB3" r:id="rId6"/>
    <hyperlink xmlns:r="http://schemas.openxmlformats.org/officeDocument/2006/relationships" ref="Y4" r:id="rId7"/>
    <hyperlink xmlns:r="http://schemas.openxmlformats.org/officeDocument/2006/relationships" ref="Z4" r:id="rId8"/>
    <hyperlink xmlns:r="http://schemas.openxmlformats.org/officeDocument/2006/relationships" ref="AB4" r:id="rId9"/>
    <hyperlink xmlns:r="http://schemas.openxmlformats.org/officeDocument/2006/relationships" ref="Z5" r:id="rId10"/>
    <hyperlink xmlns:r="http://schemas.openxmlformats.org/officeDocument/2006/relationships" ref="AB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32" customWidth="1" min="3" max="3"/>
    <col width="16" customWidth="1" min="4" max="4"/>
    <col width="28" customWidth="1" min="5" max="5"/>
    <col width="40" customWidth="1" min="6" max="6"/>
    <col width="16" customWidth="1" min="7" max="7"/>
    <col width="9" customWidth="1" min="8" max="8"/>
    <col width="70" customWidth="1" min="9" max="9"/>
  </cols>
  <sheetData>
    <row r="1" ht="32" customHeight="1">
      <c r="A1" s="1" t="inlineStr">
        <is>
          <t>Buyer</t>
        </is>
      </c>
      <c r="B1" s="1" t="inlineStr">
        <is>
          <t>Contact name</t>
        </is>
      </c>
      <c r="C1" s="1" t="inlineStr">
        <is>
          <t>Email</t>
        </is>
      </c>
      <c r="D1" s="1" t="inlineStr">
        <is>
          <t>Phone</t>
        </is>
      </c>
      <c r="E1" s="1" t="inlineStr">
        <is>
          <t>Website</t>
        </is>
      </c>
      <c r="F1" s="1" t="inlineStr">
        <is>
          <t>Address</t>
        </is>
      </c>
      <c r="G1" s="1" t="inlineStr">
        <is>
          <t>Region</t>
        </is>
      </c>
      <c r="H1" s="1" t="inlineStr">
        <is>
          <t>Relevant notices</t>
        </is>
      </c>
      <c r="I1" s="1" t="inlineStr">
        <is>
          <t>Example notices</t>
        </is>
      </c>
    </row>
    <row r="2">
      <c r="A2" s="3" t="inlineStr">
        <is>
          <t>North Ayrshire Council</t>
        </is>
      </c>
      <c r="B2" s="3" t="inlineStr">
        <is>
          <t>Laura Keane</t>
        </is>
      </c>
      <c r="C2" s="3" t="inlineStr">
        <is>
          <t>laurakeane@north-ayrshire.gov.uk</t>
        </is>
      </c>
      <c r="D2" s="3" t="inlineStr">
        <is>
          <t>+44 1294310000</t>
        </is>
      </c>
      <c r="E2" s="8" t="inlineStr">
        <is>
          <t>https://www.publictendersscotland.publiccontractsscotland.gov.uk/web/login.html</t>
        </is>
      </c>
      <c r="F2" s="3" t="inlineStr">
        <is>
          <t>Cunninghame House, Friars Croft, Irvine, UKM93, KA12 8EE</t>
        </is>
      </c>
      <c r="G2" s="3" t="inlineStr">
        <is>
          <t>UKM93</t>
        </is>
      </c>
      <c r="H2" s="2" t="n">
        <v>1</v>
      </c>
      <c r="I2" s="3" t="inlineStr">
        <is>
          <t>Measured Term Contract for Combined Re-Roofing, Re-Rendering, EWI and Solar PV Programme</t>
        </is>
      </c>
    </row>
    <row r="3">
      <c r="A3" s="3" t="inlineStr">
        <is>
          <t>Renfrewshire Council</t>
        </is>
      </c>
      <c r="B3" s="3" t="inlineStr">
        <is>
          <t>Kevin Milliken</t>
        </is>
      </c>
      <c r="C3" s="3" t="inlineStr">
        <is>
          <t>kevin.milliken@renfrewshire.gov.uk</t>
        </is>
      </c>
      <c r="D3" s="3" t="inlineStr">
        <is>
          <t>+44 3003000300</t>
        </is>
      </c>
      <c r="E3" s="8" t="inlineStr">
        <is>
          <t>https://www.publictenderscotland.publiccontractsscotland.gov.uk/</t>
        </is>
      </c>
      <c r="F3" s="3" t="inlineStr">
        <is>
          <t>Renfrewshire House, Cotton Street, Paisley, UKM83, PA1 1JB</t>
        </is>
      </c>
      <c r="G3" s="3" t="inlineStr">
        <is>
          <t>UKM83, Renfrewshire</t>
        </is>
      </c>
      <c r="H3" s="2" t="n">
        <v>1</v>
      </c>
      <c r="I3" s="3" t="inlineStr">
        <is>
          <t>Net Zero - Retrofit Works (Externals) - Design and Build</t>
        </is>
      </c>
    </row>
    <row r="4">
      <c r="A4" s="3" t="inlineStr">
        <is>
          <t>Scottish Government</t>
        </is>
      </c>
      <c r="B4" s="3" t="n"/>
      <c r="C4" s="3" t="inlineStr">
        <is>
          <t>Paul.packett@gov.scot</t>
        </is>
      </c>
      <c r="D4" s="3" t="n"/>
      <c r="E4" s="8" t="inlineStr">
        <is>
          <t>http://www.publictendersscotland.publiccontractsscotland.gov.uk</t>
        </is>
      </c>
      <c r="F4" s="3" t="inlineStr">
        <is>
          <t>5 Atlantic Quay, 150 Broomielaw, Glasgow, UKM, G2 8LU</t>
        </is>
      </c>
      <c r="G4" s="3" t="inlineStr">
        <is>
          <t>UK</t>
        </is>
      </c>
      <c r="H4" s="2" t="n">
        <v>1</v>
      </c>
      <c r="I4" s="3" t="inlineStr">
        <is>
          <t>Development of final EPC Wrapper for Scotland</t>
        </is>
      </c>
    </row>
    <row r="5">
      <c r="A5" s="3" t="inlineStr">
        <is>
          <t>University of Dundee</t>
        </is>
      </c>
      <c r="B5" s="3" t="inlineStr">
        <is>
          <t>Stewart Hamilton Kerr</t>
        </is>
      </c>
      <c r="C5" s="3" t="inlineStr">
        <is>
          <t>s.v.kerr@dundee.ac.uk</t>
        </is>
      </c>
      <c r="D5" s="3" t="inlineStr">
        <is>
          <t>+44 1382386810</t>
        </is>
      </c>
      <c r="E5" s="8" t="inlineStr">
        <is>
          <t>http://www.publiccontractsscotland.gov.uk</t>
        </is>
      </c>
      <c r="F5" s="3" t="inlineStr">
        <is>
          <t>Procurement, 3rd Floor, Tower Building, Nethergate, Dundee, UKM71, DD1 4HN</t>
        </is>
      </c>
      <c r="G5" s="3" t="inlineStr">
        <is>
          <t>UKM71, Dundee</t>
        </is>
      </c>
      <c r="H5" s="2" t="n">
        <v>1</v>
      </c>
      <c r="I5" s="3" t="inlineStr">
        <is>
          <t>EV Charging Infrastructure</t>
        </is>
      </c>
    </row>
  </sheetData>
  <autoFilter ref="A1:I5"/>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2" customWidth="1" min="1" max="1"/>
    <col width="110" customWidth="1" min="2" max="2"/>
  </cols>
  <sheetData>
    <row r="1">
      <c r="A1" s="9" t="inlineStr">
        <is>
          <t>Generated</t>
        </is>
      </c>
      <c r="B1" s="10" t="inlineStr">
        <is>
          <t>05 Oct 2026 14:27</t>
        </is>
      </c>
    </row>
    <row r="2">
      <c r="A2" s="9" t="inlineStr">
        <is>
          <t>Window</t>
        </is>
      </c>
      <c r="B2" s="10" t="inlineStr">
        <is>
          <t>Last 45 days (tenders/pipeline)</t>
        </is>
      </c>
    </row>
    <row r="3">
      <c r="A3" s="9" t="inlineStr">
        <is>
          <t>Sources</t>
        </is>
      </c>
      <c r="B3" s="10" t="inlineStr">
        <is>
          <t>Find a Tender Service + Contracts Finder (official OCDS APIs)</t>
        </is>
      </c>
    </row>
    <row r="4">
      <c r="A4" s="9" t="inlineStr">
        <is>
          <t>Minimum score</t>
        </is>
      </c>
      <c r="B4" s="10" t="n">
        <v>4</v>
      </c>
    </row>
    <row r="5">
      <c r="A5" s="9" t="inlineStr">
        <is>
          <t>Region filter</t>
        </is>
      </c>
      <c r="B5" s="10" t="inlineStr">
        <is>
          <t>None</t>
        </is>
      </c>
    </row>
    <row r="6">
      <c r="A6" s="9" t="inlineStr">
        <is>
          <t>Opportunities</t>
        </is>
      </c>
      <c r="B6" s="10" t="n">
        <v>4</v>
      </c>
    </row>
    <row r="7">
      <c r="A7" s="9" t="inlineStr">
        <is>
          <t>Score</t>
        </is>
      </c>
      <c r="B7" s="10" t="inlineStr">
        <is>
          <t>Keyword hits in title (x4, max 3) + description (x1, max 4) + best CPV weight</t>
        </is>
      </c>
    </row>
    <row r="8">
      <c r="A8" s="9" t="inlineStr">
        <is>
          <t>Days left</t>
        </is>
      </c>
      <c r="B8" s="10" t="inlineStr">
        <is>
          <t>Green = more than 14 days, amber = 14 days or fewer, red = closed</t>
        </is>
      </c>
    </row>
    <row r="9">
      <c r="A9" s="9" t="inlineStr">
        <is>
          <t>Stage</t>
        </is>
      </c>
      <c r="B9" s="10" t="inlineStr">
        <is>
          <t>'planning' = pipeline / early market engagement notice - tender not yet live</t>
        </is>
      </c>
    </row>
    <row r="10">
      <c r="A10" s="9" t="inlineStr">
        <is>
          <t>Contacting buyers</t>
        </is>
      </c>
      <c r="B10" s="10" t="inlineStr">
        <is>
          <t>During a live tender, use the portal's clarification route only - canvassing the buyer outside it can disqualify a bid.</t>
        </is>
      </c>
    </row>
    <row r="11">
      <c r="A11" s="9" t="inlineStr">
        <is>
          <t>Full ITT documents</t>
        </is>
      </c>
      <c r="B11" s="10" t="inlineStr">
        <is>
          <t>Usually held on the buyer's e-tendering portal (see 'Tender portal' / 'Notice link'); registration is often required.</t>
        </is>
      </c>
    </row>
    <row r="12">
      <c r="A12" s="9" t="inlineStr">
        <is>
          <t>Tuning</t>
        </is>
      </c>
      <c r="B12" s="10" t="inlineStr">
        <is>
          <t>Edit KEYWORD_GROUPS, EXCLUDE_KEYWORDS and CPV_WEIGHTS at the top of the script.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2026-10-05T14:27:54Z</dcterms:created>
  <dcterms:modified xsi:type="dcterms:W3CDTF">2026-10-05T14:27:55Z</dcterms:modified>
</cp:coreProperties>
</file>
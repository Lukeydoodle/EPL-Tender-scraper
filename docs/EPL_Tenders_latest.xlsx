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pportunities" sheetId="1" state="visible" r:id="rId1"/>
    <sheet name="Buyer Contacts" sheetId="2" state="visible" r:id="rId2"/>
    <sheet name="About" sheetId="3" state="visible" r:id="rId3"/>
  </sheets>
  <definedNames>
    <definedName name="_xlnm._FilterDatabase" localSheetId="0" hidden="1">'Opportunities'!$A$1:$AF$14</definedName>
    <definedName name="_xlnm._FilterDatabase" localSheetId="1" hidden="1">'Buyer Contacts'!$A$1:$I$13</definedName>
  </definedNames>
  <calcPr calcId="124519" fullCalcOnLoad="1"/>
</workbook>
</file>

<file path=xl/styles.xml><?xml version="1.0" encoding="utf-8"?>
<styleSheet xmlns="http://schemas.openxmlformats.org/spreadsheetml/2006/main">
  <numFmts count="5">
    <numFmt numFmtId="164" formatCode="£#,##0"/>
    <numFmt numFmtId="165" formatCode="yyyy-mm-dd h:mm:ss"/>
    <numFmt numFmtId="166" formatCode="dd/mm/yyyy"/>
    <numFmt numFmtId="167" formatCode="dd/mm/yyyy hh:mm"/>
    <numFmt numFmtId="168" formatCode="0;[Red]-0"/>
  </numFmts>
  <fonts count="5">
    <font>
      <name val="Calibri"/>
      <family val="2"/>
      <color theme="1"/>
      <sz val="11"/>
      <scheme val="minor"/>
    </font>
    <font>
      <name val="Arial"/>
      <b val="1"/>
      <color rgb="00FFFFFF"/>
    </font>
    <font>
      <name val="Arial"/>
      <sz val="10"/>
    </font>
    <font>
      <name val="Arial"/>
      <color rgb="000563C1"/>
      <sz val="10"/>
      <u val="single"/>
    </font>
    <font>
      <name val="Arial"/>
      <b val="1"/>
    </font>
  </fonts>
  <fills count="3">
    <fill>
      <patternFill/>
    </fill>
    <fill>
      <patternFill patternType="gray125"/>
    </fill>
    <fill>
      <patternFill patternType="solid">
        <fgColor rgb="001F4E3D"/>
      </patternFill>
    </fill>
  </fills>
  <borders count="1">
    <border>
      <left/>
      <right/>
      <top/>
      <bottom/>
      <diagonal/>
    </border>
  </borders>
  <cellStyleXfs count="1">
    <xf numFmtId="0" fontId="0" fillId="0" borderId="0"/>
  </cellStyleXfs>
  <cellXfs count="11">
    <xf numFmtId="0" fontId="0" fillId="0" borderId="0" pivotButton="0" quotePrefix="0" xfId="0"/>
    <xf numFmtId="0" fontId="1" fillId="2" borderId="0" applyAlignment="1" pivotButton="0" quotePrefix="0" xfId="0">
      <alignment vertical="center" wrapText="1"/>
    </xf>
    <xf numFmtId="1" fontId="2" fillId="0" borderId="0" applyAlignment="1" pivotButton="0" quotePrefix="0" xfId="0">
      <alignment vertical="top"/>
    </xf>
    <xf numFmtId="0" fontId="2" fillId="0" borderId="0" applyAlignment="1" pivotButton="0" quotePrefix="0" xfId="0">
      <alignment vertical="top"/>
    </xf>
    <xf numFmtId="164" fontId="2" fillId="0" borderId="0" applyAlignment="1" pivotButton="0" quotePrefix="0" xfId="0">
      <alignment vertical="top"/>
    </xf>
    <xf numFmtId="166" fontId="2" fillId="0" borderId="0" applyAlignment="1" pivotButton="0" quotePrefix="0" xfId="0">
      <alignment vertical="top"/>
    </xf>
    <xf numFmtId="167" fontId="2" fillId="0" borderId="0" applyAlignment="1" pivotButton="0" quotePrefix="0" xfId="0">
      <alignment vertical="top"/>
    </xf>
    <xf numFmtId="168" fontId="2" fillId="0" borderId="0" applyAlignment="1" pivotButton="0" quotePrefix="0" xfId="0">
      <alignment vertical="top"/>
    </xf>
    <xf numFmtId="0" fontId="3" fillId="0" borderId="0" applyAlignment="1" pivotButton="0" quotePrefix="0" xfId="0">
      <alignment vertical="top"/>
    </xf>
    <xf numFmtId="0" fontId="4" fillId="0" borderId="0" pivotButton="0" quotePrefix="0" xfId="0"/>
    <xf numFmtId="0" fontId="2" fillId="0" borderId="0" pivotButton="0" quotePrefix="0" xfId="0"/>
  </cellXfs>
  <cellStyles count="1">
    <cellStyle name="Normal" xfId="0" builtinId="0" hidden="0"/>
  </cellStyles>
  <dxfs count="2">
    <dxf>
      <fill>
        <patternFill patternType="solid">
          <fgColor rgb="00FCE4D6"/>
        </patternFill>
      </fill>
    </dxf>
    <dxf>
      <fill>
        <patternFill patternType="solid">
          <fgColor rgb="00E2EFD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ontractsfinder.service.gov.uk/Notice/a4e115c8-447e-4528-9abb-71ac816ec251" TargetMode="External" Id="rId1" /><Relationship Type="http://schemas.openxmlformats.org/officeDocument/2006/relationships/hyperlink" Target="https://www.contractsfinder.service.gov.uk/Notice/287ed446-ae14-4b1b-bef8-0fabe8744c07" TargetMode="External" Id="rId2" /><Relationship Type="http://schemas.openxmlformats.org/officeDocument/2006/relationships/hyperlink" Target="https://www.contractsfinder.service.gov.uk/Notice/a4e115c8-447e-4528-9abb-71ac816ec251" TargetMode="External" Id="rId3" /><Relationship Type="http://schemas.openxmlformats.org/officeDocument/2006/relationships/hyperlink" Target="https://suppliers.multiquote.com" TargetMode="External" Id="rId4" /><Relationship Type="http://schemas.openxmlformats.org/officeDocument/2006/relationships/hyperlink" Target="http://www.publictendersscotland.publiccontractsscotland.gov.uk" TargetMode="External" Id="rId5" /><Relationship Type="http://schemas.openxmlformats.org/officeDocument/2006/relationships/hyperlink" Target="https://www.find-tender.service.gov.uk/Notice/085159-2026" TargetMode="External" Id="rId6" /><Relationship Type="http://schemas.openxmlformats.org/officeDocument/2006/relationships/hyperlink" Target="http://www.publictendersscotland.publiccontractsscotland.gov.uk" TargetMode="External" Id="rId7" /><Relationship Type="http://schemas.openxmlformats.org/officeDocument/2006/relationships/hyperlink" Target="https://www.contractsfinder.service.gov.uk/Notice/9c6f4687-4df9-405d-be58-e4d18b1fcf2d" TargetMode="External" Id="rId8" /><Relationship Type="http://schemas.openxmlformats.org/officeDocument/2006/relationships/hyperlink" Target="https://www.contractsfinder.service.gov.uk/Notice/ca55f98c-34ef-4cbe-b8cc-df90f65c491b" TargetMode="External" Id="rId9" /><Relationship Type="http://schemas.openxmlformats.org/officeDocument/2006/relationships/hyperlink" Target="https://www.publictendersscotland.publiccontractsscotland.gov.uk" TargetMode="External" Id="rId10" /><Relationship Type="http://schemas.openxmlformats.org/officeDocument/2006/relationships/hyperlink" Target="https://www.find-tender.service.gov.uk/Notice/087147-2026" TargetMode="External" Id="rId11" /><Relationship Type="http://schemas.openxmlformats.org/officeDocument/2006/relationships/hyperlink" Target="https://www.publictendersscotland.publiccontractsscotland.gov.uk" TargetMode="External" Id="rId12" /><Relationship Type="http://schemas.openxmlformats.org/officeDocument/2006/relationships/hyperlink" Target="https://www.contractsfinder.service.gov.uk/Notice/30ac6008-b80d-41e2-96a1-4fceae17043b" TargetMode="External" Id="rId13" /><Relationship Type="http://schemas.openxmlformats.org/officeDocument/2006/relationships/hyperlink" Target="https://www.contractsfinder.service.gov.uk/Notice/072c9766-ef50-4993-9acc-9016a7c75998" TargetMode="External" Id="rId14" /><Relationship Type="http://schemas.openxmlformats.org/officeDocument/2006/relationships/hyperlink" Target="https://www.contractsfinder.service.gov.uk/Notice/f8acf8f1-d676-4ece-a58e-e60dea73a5c5" TargetMode="External" Id="rId15" /><Relationship Type="http://schemas.openxmlformats.org/officeDocument/2006/relationships/hyperlink" Target="http://www.publiccontractsscotland.gov.uk" TargetMode="External" Id="rId16" /><Relationship Type="http://schemas.openxmlformats.org/officeDocument/2006/relationships/hyperlink" Target="https://www.find-tender.service.gov.uk/Notice/084524-2026" TargetMode="External" Id="rId17" /><Relationship Type="http://schemas.openxmlformats.org/officeDocument/2006/relationships/hyperlink" Target="http://www.publiccontractsscotland.gov.uk" TargetMode="External" Id="rId18" /><Relationship Type="http://schemas.openxmlformats.org/officeDocument/2006/relationships/hyperlink" Target="https://www.contractsfinder.service.gov.uk/Notice/9566b75e-d76e-4674-b2fb-59a111017418" TargetMode="External" Id="rId19" /><Relationship Type="http://schemas.openxmlformats.org/officeDocument/2006/relationships/hyperlink" Target="https://www.contractsfinder.service.gov.uk/Notice/0ccf08fa-6d39-4244-ba62-9562b0a08b43" TargetMode="External" Id="rId20" /><Relationship Type="http://schemas.openxmlformats.org/officeDocument/2006/relationships/hyperlink" Target="http://www.trafford.gov.uk/" TargetMode="External" Id="rId21" /><Relationship Type="http://schemas.openxmlformats.org/officeDocument/2006/relationships/hyperlink" Target="http://www.publiccontractsscotland.gov.uk" TargetMode="External" Id="rId22" /><Relationship Type="http://schemas.openxmlformats.org/officeDocument/2006/relationships/hyperlink" Target="https://www.find-tender.service.gov.uk/Notice/082366-2026" TargetMode="External" Id="rId23" /><Relationship Type="http://schemas.openxmlformats.org/officeDocument/2006/relationships/hyperlink" Target="http://www.publiccontractsscotland.gov.uk" TargetMode="External" Id="rId24" /><Relationship Type="http://schemas.openxmlformats.org/officeDocument/2006/relationships/hyperlink" Target="https://www.contractsfinder.service.gov.uk/Notice/c684c2d3-71be-4a22-bea1-56816b71f563" TargetMode="External" Id="rId25" /><Relationship Type="http://schemas.openxmlformats.org/officeDocument/2006/relationships/hyperlink" Target="https://www.contractsfinder.service.gov.uk/Notice/be55a7c0-3588-49be-8500-1fd682981669" TargetMode="External" Id="rId26" /><Relationship Type="http://schemas.openxmlformats.org/officeDocument/2006/relationships/hyperlink" Target="https://www.contractsfinder.service.gov.uk/Notice/c684c2d3-71be-4a22-bea1-56816b71f563" TargetMode="External" Id="rId27" /><Relationship Type="http://schemas.openxmlformats.org/officeDocument/2006/relationships/hyperlink" Target="http://www.rbhousing.org.uk/" TargetMode="External" Id="rId28" /><Relationship Type="http://schemas.openxmlformats.org/officeDocument/2006/relationships/hyperlink" Target="https://www.contractsfinder.service.gov.uk/Notice/f9613a96-8a56-4f2f-b0e6-04b7e416ae1c" TargetMode="External" Id="rId29" /><Relationship Type="http://schemas.openxmlformats.org/officeDocument/2006/relationships/hyperlink" Target="https://www.contractsfinder.service.gov.uk/Notice/cb5590f6-5c46-427f-869c-3688e693c300" TargetMode="External" Id="rId30" /><Relationship Type="http://schemas.openxmlformats.org/officeDocument/2006/relationships/hyperlink" Target="https://www.contractsfinder.service.gov.uk/Notice/04a3aa0a-c3ed-4afc-8b07-4511a46230b3" TargetMode="External" Id="rId31" /><Relationship Type="http://schemas.openxmlformats.org/officeDocument/2006/relationships/hyperlink" Target="https://www.contractsfinder.service.gov.uk/Notice/d7504def-9d38-4b6d-8406-f9889eb4a4b6" TargetMode="External" Id="rId32" /><Relationship Type="http://schemas.openxmlformats.org/officeDocument/2006/relationships/hyperlink" Target="https://www.find-tender.service.gov.uk/Notice/082401-2026" TargetMode="External" Id="rId33" /><Relationship Type="http://schemas.openxmlformats.org/officeDocument/2006/relationships/hyperlink" Target="https://www.publictenderscotland.publiccontractsscotland.gov.uk/" TargetMode="External" Id="rId34" /></Relationships>
</file>

<file path=xl/worksheets/_rels/sheet2.xml.rels><Relationships xmlns="http://schemas.openxmlformats.org/package/2006/relationships"><Relationship Type="http://schemas.openxmlformats.org/officeDocument/2006/relationships/hyperlink" Target="https://suppliers.multiquote.com" TargetMode="External" Id="rId1" /><Relationship Type="http://schemas.openxmlformats.org/officeDocument/2006/relationships/hyperlink" Target="http://www.publiccontractsscotland.gov.uk" TargetMode="External" Id="rId2" /><Relationship Type="http://schemas.openxmlformats.org/officeDocument/2006/relationships/hyperlink" Target="https://www.publictenderscotland.publiccontractsscotland.gov.uk/" TargetMode="External" Id="rId3" /><Relationship Type="http://schemas.openxmlformats.org/officeDocument/2006/relationships/hyperlink" Target="http://www.rbhousing.org.uk/" TargetMode="External" Id="rId4" /><Relationship Type="http://schemas.openxmlformats.org/officeDocument/2006/relationships/hyperlink" Target="http://www.publictendersscotland.publiccontractsscotland.gov.uk" TargetMode="External" Id="rId5" /><Relationship Type="http://schemas.openxmlformats.org/officeDocument/2006/relationships/hyperlink" Target="https://www.publictendersscotland.publiccontractsscotland.gov.uk" TargetMode="External" Id="rId6" /><Relationship Type="http://schemas.openxmlformats.org/officeDocument/2006/relationships/hyperlink" Target="http://www.trafford.gov.uk/" TargetMode="External" Id="rId7" /><Relationship Type="http://schemas.openxmlformats.org/officeDocument/2006/relationships/hyperlink" Target="http://www.publiccontractsscotland.gov.uk" TargetMode="External" Id="rId8" /></Relationships>
</file>

<file path=xl/worksheets/sheet1.xml><?xml version="1.0" encoding="utf-8"?>
<worksheet xmlns="http://schemas.openxmlformats.org/spreadsheetml/2006/main">
  <sheetPr>
    <outlinePr summaryBelow="1" summaryRight="1"/>
    <pageSetUpPr/>
  </sheetPr>
  <dimension ref="A1:AF14"/>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7" customWidth="1" min="1" max="1"/>
    <col width="20" customWidth="1" min="2" max="2"/>
    <col width="9" customWidth="1" min="3" max="3"/>
    <col width="50" customWidth="1" min="4" max="4"/>
    <col width="32" customWidth="1" min="5" max="5"/>
    <col width="20" customWidth="1" min="6" max="6"/>
    <col width="30" customWidth="1" min="7" max="7"/>
    <col width="16" customWidth="1" min="8" max="8"/>
    <col width="16" customWidth="1" min="9" max="9"/>
    <col width="14" customWidth="1" min="10" max="10"/>
    <col width="12" customWidth="1" min="11" max="11"/>
    <col width="16" customWidth="1" min="12" max="12"/>
    <col width="9" customWidth="1" min="13" max="13"/>
    <col width="16" customWidth="1" min="14" max="14"/>
    <col width="12" customWidth="1" min="15" max="15"/>
    <col width="10" customWidth="1" min="16" max="16"/>
    <col width="18" customWidth="1" min="17" max="17"/>
    <col width="10" customWidth="1" min="18" max="18"/>
    <col width="6" customWidth="1" min="19" max="19"/>
    <col width="8" customWidth="1" min="20" max="20"/>
    <col width="40" customWidth="1" min="21" max="21"/>
    <col width="40" customWidth="1" min="22" max="22"/>
    <col width="30" customWidth="1" min="23" max="23"/>
    <col width="18" customWidth="1" min="24" max="24"/>
    <col width="30" customWidth="1" min="25" max="25"/>
    <col width="30" customWidth="1" min="26" max="26"/>
    <col width="30" customWidth="1" min="27" max="27"/>
    <col width="24" customWidth="1" min="28" max="28"/>
    <col width="30" customWidth="1" min="29" max="29"/>
    <col width="30" customWidth="1" min="30" max="30"/>
    <col width="80" customWidth="1" min="31" max="31"/>
    <col width="14" customWidth="1" min="32" max="32"/>
  </cols>
  <sheetData>
    <row r="1" ht="32" customHeight="1">
      <c r="A1" s="1" t="inlineStr">
        <is>
          <t>Score</t>
        </is>
      </c>
      <c r="B1" s="1" t="inlineStr">
        <is>
          <t>Category</t>
        </is>
      </c>
      <c r="C1" s="1" t="inlineStr">
        <is>
          <t>Stage</t>
        </is>
      </c>
      <c r="D1" s="1" t="inlineStr">
        <is>
          <t>Title</t>
        </is>
      </c>
      <c r="E1" s="1" t="inlineStr">
        <is>
          <t>Buyer</t>
        </is>
      </c>
      <c r="F1" s="1" t="inlineStr">
        <is>
          <t>Contact name</t>
        </is>
      </c>
      <c r="G1" s="1" t="inlineStr">
        <is>
          <t>Email</t>
        </is>
      </c>
      <c r="H1" s="1" t="inlineStr">
        <is>
          <t>Phone</t>
        </is>
      </c>
      <c r="I1" s="1" t="inlineStr">
        <is>
          <t>Region</t>
        </is>
      </c>
      <c r="J1" s="1" t="inlineStr">
        <is>
          <t>Value</t>
        </is>
      </c>
      <c r="K1" s="1" t="inlineStr">
        <is>
          <t>Published</t>
        </is>
      </c>
      <c r="L1" s="1" t="inlineStr">
        <is>
          <t>Deadline</t>
        </is>
      </c>
      <c r="M1" s="1" t="inlineStr">
        <is>
          <t>Days left</t>
        </is>
      </c>
      <c r="N1" s="1" t="inlineStr">
        <is>
          <t>Clarification deadline</t>
        </is>
      </c>
      <c r="O1" s="1" t="inlineStr">
        <is>
          <t>Contract start</t>
        </is>
      </c>
      <c r="P1" s="1" t="inlineStr">
        <is>
          <t>Duration (days)</t>
        </is>
      </c>
      <c r="Q1" s="1" t="inlineStr">
        <is>
          <t>Procedure</t>
        </is>
      </c>
      <c r="R1" s="1" t="inlineStr">
        <is>
          <t>Framework</t>
        </is>
      </c>
      <c r="S1" s="1" t="inlineStr">
        <is>
          <t>Lots</t>
        </is>
      </c>
      <c r="T1" s="1" t="inlineStr">
        <is>
          <t>SME suitable</t>
        </is>
      </c>
      <c r="U1" s="1" t="inlineStr">
        <is>
          <t>Award criteria</t>
        </is>
      </c>
      <c r="V1" s="1" t="inlineStr">
        <is>
          <t>Selection criteria</t>
        </is>
      </c>
      <c r="W1" s="1" t="inlineStr">
        <is>
          <t>Matched keywords</t>
        </is>
      </c>
      <c r="X1" s="1" t="inlineStr">
        <is>
          <t>CPV codes</t>
        </is>
      </c>
      <c r="Y1" s="1" t="inlineStr">
        <is>
          <t>Tender portal</t>
        </is>
      </c>
      <c r="Z1" s="1" t="inlineStr">
        <is>
          <t>Notice link</t>
        </is>
      </c>
      <c r="AA1" s="1" t="inlineStr">
        <is>
          <t>Documents</t>
        </is>
      </c>
      <c r="AB1" s="1" t="inlineStr">
        <is>
          <t>Buyer website</t>
        </is>
      </c>
      <c r="AC1" s="1" t="inlineStr">
        <is>
          <t>Buyer address</t>
        </is>
      </c>
      <c r="AD1" s="1" t="inlineStr">
        <is>
          <t>Other contacts</t>
        </is>
      </c>
      <c r="AE1" s="1" t="inlineStr">
        <is>
          <t>Description</t>
        </is>
      </c>
      <c r="AF1" s="1" t="inlineStr">
        <is>
          <t>Source</t>
        </is>
      </c>
    </row>
    <row r="2">
      <c r="A2" s="2" t="n">
        <v>21</v>
      </c>
      <c r="B2" s="3" t="inlineStr">
        <is>
          <t>Solar / BESS / EV</t>
        </is>
      </c>
      <c r="C2" s="3" t="inlineStr">
        <is>
          <t>tender</t>
        </is>
      </c>
      <c r="D2" s="3" t="inlineStr">
        <is>
          <t>CA18436 - Provision of PPA funded Solar PV Roof Array with battery storage</t>
        </is>
      </c>
      <c r="E2" s="3" t="inlineStr">
        <is>
          <t>Chichester College Group</t>
        </is>
      </c>
      <c r="F2" s="3" t="inlineStr">
        <is>
          <t>Hayley Abdo</t>
        </is>
      </c>
      <c r="G2" s="3" t="inlineStr">
        <is>
          <t>support@multiquote.com</t>
        </is>
      </c>
      <c r="H2" s="3" t="inlineStr">
        <is>
          <t>0151 482 9230</t>
        </is>
      </c>
      <c r="I2" s="3" t="n"/>
      <c r="J2" s="4" t="n">
        <v>900000</v>
      </c>
      <c r="K2" s="5" t="n">
        <v>46274.38763888889</v>
      </c>
      <c r="L2" s="6" t="n">
        <v>46302.45833333334</v>
      </c>
      <c r="M2" s="7">
        <f>IF(L2="","",INT(L2-NOW()))</f>
        <v/>
      </c>
      <c r="N2" s="6" t="n"/>
      <c r="O2" s="5" t="n">
        <v>46477.95833333334</v>
      </c>
      <c r="P2" s="2" t="n">
        <v>7305</v>
      </c>
      <c r="Q2" s="3" t="inlineStr">
        <is>
          <t>Restricted procedure</t>
        </is>
      </c>
      <c r="R2" s="3" t="n"/>
      <c r="S2" s="3" t="n"/>
      <c r="T2" s="3" t="inlineStr">
        <is>
          <t>Yes</t>
        </is>
      </c>
      <c r="U2" s="3" t="n"/>
      <c r="V2" s="3" t="n"/>
      <c r="W2" s="3" t="inlineStr">
        <is>
          <t>battery storage, energy efficiency, power purchase agreement, ppa, solar, solar pv</t>
        </is>
      </c>
      <c r="X2" s="3" t="inlineStr">
        <is>
          <t>71314200</t>
        </is>
      </c>
      <c r="Y2" s="8" t="inlineStr">
        <is>
          <t>https://www.contractsfinder.service.gov.uk/Notice/a4e115c8-447e-4528-9abb-71ac816ec251</t>
        </is>
      </c>
      <c r="Z2" s="8" t="inlineStr">
        <is>
          <t>https://www.contractsfinder.service.gov.uk/Notice/287ed446-ae14-4b1b-bef8-0fabe8744c07</t>
        </is>
      </c>
      <c r="AA2" s="8" t="inlineStr">
        <is>
          <t>https://www.contractsfinder.service.gov.uk/Notice/a4e115c8-447e-4528-9abb-71ac816ec251</t>
        </is>
      </c>
      <c r="AB2" s="8" t="inlineStr">
        <is>
          <t>https://suppliers.multiquote.com</t>
        </is>
      </c>
      <c r="AC2" s="3" t="inlineStr">
        <is>
          <t>Chichester Campus, Westgate Fields, Chichester, PO19 1SB</t>
        </is>
      </c>
      <c r="AD2" s="3" t="n"/>
      <c r="AE2" s="3" t="inlineStr">
        <is>
          <t>The college continues its commitment to reducing emissions and further improving energy efficiency, in alignment with The Association of Colleges Carbon Neutral Agenda. A range of projects are ongoing including the continuing rollout of roof mounted solar arrays using the Power Purchase Agreement (PPA) funding model. This tender is for the provision of a PPA funded Solar PV Array with battery storage option for Haywards Heath College To access this competition: Registered: Login to https://suppliers.multiquote.com and view the opportunity CA18436. Not registered: Visit https://suppliers.multiquote.com then register and quote CA18436 as the reason for registration. Any queries please contact MultiQuote on 020 3920 8054.</t>
        </is>
      </c>
      <c r="AF2" s="3" t="inlineStr">
        <is>
          <t>Contracts Finder</t>
        </is>
      </c>
    </row>
    <row r="3">
      <c r="A3" s="2" t="n">
        <v>10</v>
      </c>
      <c r="B3" s="3" t="inlineStr">
        <is>
          <t>Carbon / Compliance</t>
        </is>
      </c>
      <c r="C3" s="3" t="inlineStr">
        <is>
          <t>tender</t>
        </is>
      </c>
      <c r="D3" s="3" t="inlineStr">
        <is>
          <t>Development of final EPC Wrapper for Scotland</t>
        </is>
      </c>
      <c r="E3" s="3" t="inlineStr">
        <is>
          <t>Scottish Government</t>
        </is>
      </c>
      <c r="F3" s="3" t="n"/>
      <c r="G3" s="3" t="inlineStr">
        <is>
          <t>Paul.packett@gov.scot</t>
        </is>
      </c>
      <c r="H3" s="3" t="n"/>
      <c r="I3" s="3" t="inlineStr">
        <is>
          <t>UK</t>
        </is>
      </c>
      <c r="J3" s="4" t="n"/>
      <c r="K3" s="5" t="n">
        <v>46274.31138888889</v>
      </c>
      <c r="L3" s="6" t="n">
        <v>46304.45833333334</v>
      </c>
      <c r="M3" s="7">
        <f>IF(L3="","",INT(L3-NOW()))</f>
        <v/>
      </c>
      <c r="N3" s="6" t="n"/>
      <c r="O3" s="5" t="n"/>
      <c r="P3" s="2" t="n">
        <v>180</v>
      </c>
      <c r="Q3" s="3" t="inlineStr">
        <is>
          <t>Open procedure</t>
        </is>
      </c>
      <c r="R3" s="3" t="n"/>
      <c r="S3" s="3" t="n">
        <v>1</v>
      </c>
      <c r="T3" s="3" t="n"/>
      <c r="U3" s="3" t="inlineStr">
        <is>
          <t>Technical (70); price (30)</t>
        </is>
      </c>
      <c r="V3" s="3" t="inlineStr">
        <is>
          <t>economic (List and brief description of selection criteria: List and brief description of selection criteria: 4B.4 -The bidder co…); technical (List and brief description of selection criteria: List and brief description of selection criteria: 4C.7 - Provide deta…)</t>
        </is>
      </c>
      <c r="W3" s="3" t="inlineStr">
        <is>
          <t>epc</t>
        </is>
      </c>
      <c r="X3" s="3" t="inlineStr">
        <is>
          <t>71314000, 71314300</t>
        </is>
      </c>
      <c r="Y3" s="8" t="inlineStr">
        <is>
          <t>http://www.publictendersscotland.publiccontractsscotland.gov.uk</t>
        </is>
      </c>
      <c r="Z3" s="8" t="inlineStr">
        <is>
          <t>https://www.find-tender.service.gov.uk/Notice/085159-2026</t>
        </is>
      </c>
      <c r="AA3" s="3" t="n"/>
      <c r="AB3" s="8" t="inlineStr">
        <is>
          <t>http://www.publictendersscotland.publiccontractsscotland.gov.uk</t>
        </is>
      </c>
      <c r="AC3" s="3" t="inlineStr">
        <is>
          <t>5 Atlantic Quay, 150 Broomielaw, Glasgow, UKM, G2 8LU</t>
        </is>
      </c>
      <c r="AD3" s="3" t="n"/>
      <c r="AE3" s="3" t="inlineStr">
        <is>
          <t>The Scottish Government has a requirement to place a contract with an external service provider for the provision of Development of final EPC Wrapper for Scotland.</t>
        </is>
      </c>
      <c r="AF3" s="3" t="inlineStr">
        <is>
          <t>Find a Tender</t>
        </is>
      </c>
    </row>
    <row r="4">
      <c r="A4" s="2" t="n">
        <v>9</v>
      </c>
      <c r="B4" s="3" t="inlineStr">
        <is>
          <t>Solar / BESS / EV</t>
        </is>
      </c>
      <c r="C4" s="3" t="inlineStr">
        <is>
          <t>tender</t>
        </is>
      </c>
      <c r="D4" s="3" t="inlineStr">
        <is>
          <t>Procurement of Solar Power Systems</t>
        </is>
      </c>
      <c r="E4" s="3" t="inlineStr">
        <is>
          <t>Chemonics International, Inc.</t>
        </is>
      </c>
      <c r="F4" s="3" t="inlineStr">
        <is>
          <t>Iryna Marochkanych</t>
        </is>
      </c>
      <c r="G4" s="3" t="inlineStr">
        <is>
          <t>pfruprocurement@chemonics.com</t>
        </is>
      </c>
      <c r="H4" s="3" t="inlineStr">
        <is>
          <t>+12029553300</t>
        </is>
      </c>
      <c r="I4" s="3" t="n"/>
      <c r="J4" s="4" t="n">
        <v>1</v>
      </c>
      <c r="K4" s="5" t="n">
        <v>46295.34738425926</v>
      </c>
      <c r="L4" s="6" t="n">
        <v>46310.375</v>
      </c>
      <c r="M4" s="7">
        <f>IF(L4="","",INT(L4-NOW()))</f>
        <v/>
      </c>
      <c r="N4" s="6" t="n"/>
      <c r="O4" s="5" t="n">
        <v>46324.83333333334</v>
      </c>
      <c r="P4" s="2" t="n">
        <v>62</v>
      </c>
      <c r="Q4" s="3" t="inlineStr">
        <is>
          <t>Open procedure (above threshold)</t>
        </is>
      </c>
      <c r="R4" s="3" t="n"/>
      <c r="S4" s="3" t="n"/>
      <c r="T4" s="3" t="inlineStr">
        <is>
          <t>Yes</t>
        </is>
      </c>
      <c r="U4" s="3" t="n"/>
      <c r="V4" s="3" t="n"/>
      <c r="W4" s="3" t="inlineStr">
        <is>
          <t>solar</t>
        </is>
      </c>
      <c r="X4" s="3" t="inlineStr">
        <is>
          <t>09330000</t>
        </is>
      </c>
      <c r="Y4" s="8" t="inlineStr">
        <is>
          <t>https://www.contractsfinder.service.gov.uk/Notice/9c6f4687-4df9-405d-be58-e4d18b1fcf2d</t>
        </is>
      </c>
      <c r="Z4" s="8" t="inlineStr">
        <is>
          <t>https://www.contractsfinder.service.gov.uk/Notice/ca55f98c-34ef-4cbe-b8cc-df90f65c491b</t>
        </is>
      </c>
      <c r="AA4" s="3" t="inlineStr">
        <is>
          <t>https://www.contractsfinder.service.gov.uk/Notice/9c6f4687-4df9-405d-be58-e4d18b1fcf2d https://www.contractsfinder.service.gov.uk/Notice/Attachment/83eead40-7f6a-4075-8811-1c30d44ca654 https://www.contractsfinder.service.gov.uk/Notice/Attachment/8ba4637d-813c-4984-baf2-1f8f7f8418cd https://www.contractsfinder.service.gov.uk/Notice/Attachment/c909b5ee-b213-4123-91d2-da7d18d559ac https://www.contractsfinder.service.gov.uk/Notice/Attachment/5af44e15-014b-47c8-a703-b77b28e2378d</t>
        </is>
      </c>
      <c r="AB4" s="3" t="n"/>
      <c r="AC4" s="3" t="inlineStr">
        <is>
          <t>Ukraine, Kyiv, EC1M 5QL</t>
        </is>
      </c>
      <c r="AD4" s="3" t="n"/>
      <c r="AE4" s="3" t="inlineStr">
        <is>
          <t>Partnership Fund for a Resilient Ukraine Phase 2 (PFRU-2) is a multi-year, multi-donor-funded programme managed by the UK's Foreign, Commonwealth and Development Office. As part of its project activities, PFRU-2 is seeking an organization to supply the Solar Power Systems. Please note the following important tender provisions: • the deadline for submitting proposals is October 15, 2026, at 15:00 Kyiv time; • all questions regarding the tender conditions must be submitted no later than October 09, 2026, at 18:00 Kyiv time; • Price proposals must be submitted either in Ukrainian or English; • All tender-related communication must be conducted exclusively in writing via email at pfruprocurement@chemonics.com; • The PFRU-2 project is exempt from taxes, fees, and VAT in the partner country. Therefore, PFRU-2 will make payments for services excluding VAT; • Email for submitting proposals: pfruprocurement@chemonics.com; • When sending proposals or inquiries via email, it is mandatory to include the tender number PFRU2-2025-779.6 in the email subject line. Proposal Submission Instructions: ITT_PFRU2-2025-779.6 - review the tender conditions; Volume 3_Terms of Reference - complete the document and sign the original scan/convert to PDF and sign electronically and submit the completed Excel file and the signed document as part of the proposal. Annex 1 - complete either the English or Ukrainian version and sign the original and scan/convert to PDF and sign electronically and include it …</t>
        </is>
      </c>
      <c r="AF4" s="3" t="inlineStr">
        <is>
          <t>Contracts Finder</t>
        </is>
      </c>
    </row>
    <row r="5">
      <c r="A5" s="2" t="n">
        <v>8</v>
      </c>
      <c r="B5" s="3" t="inlineStr">
        <is>
          <t>Solar / BESS / EV</t>
        </is>
      </c>
      <c r="C5" s="3" t="inlineStr">
        <is>
          <t>tender</t>
        </is>
      </c>
      <c r="D5" s="3" t="inlineStr">
        <is>
          <t>EV Infrastructure Back Office</t>
        </is>
      </c>
      <c r="E5" s="3" t="inlineStr">
        <is>
          <t>Stirling Council</t>
        </is>
      </c>
      <c r="F5" s="3" t="n"/>
      <c r="G5" s="3" t="inlineStr">
        <is>
          <t>procurement@stirling.gov.uk</t>
        </is>
      </c>
      <c r="H5" s="3" t="inlineStr">
        <is>
          <t>+44 1786404040</t>
        </is>
      </c>
      <c r="I5" s="3" t="inlineStr">
        <is>
          <t>UKM77</t>
        </is>
      </c>
      <c r="J5" s="4" t="n">
        <v>315000</v>
      </c>
      <c r="K5" s="5" t="n">
        <v>46280.38151620371</v>
      </c>
      <c r="L5" s="6" t="n">
        <v>46310.45833333334</v>
      </c>
      <c r="M5" s="7">
        <f>IF(L5="","",INT(L5-NOW()))</f>
        <v/>
      </c>
      <c r="N5" s="6" t="n"/>
      <c r="O5" s="5" t="n"/>
      <c r="P5" s="2" t="n">
        <v>1080</v>
      </c>
      <c r="Q5" s="3" t="inlineStr">
        <is>
          <t>Open procedure</t>
        </is>
      </c>
      <c r="R5" s="3" t="n"/>
      <c r="S5" s="3" t="n">
        <v>1</v>
      </c>
      <c r="T5" s="3" t="n"/>
      <c r="U5" s="3" t="inlineStr">
        <is>
          <t>Contract Implementation (20); Account Management (30); Customer Service (30); Reporting Requirements (10); Community Benefits (10); price (60)</t>
        </is>
      </c>
      <c r="V5" s="3" t="n"/>
      <c r="W5" s="3" t="inlineStr">
        <is>
          <t>charge point, charge points, ev infrastructure</t>
        </is>
      </c>
      <c r="X5" s="3" t="inlineStr">
        <is>
          <t>65300000, 75100000, 31158000, 72260000, 34144900, 48444100, 50324100, 72267100, 64226000</t>
        </is>
      </c>
      <c r="Y5" s="8" t="inlineStr">
        <is>
          <t>https://www.publictendersscotland.publiccontractsscotland.gov.uk</t>
        </is>
      </c>
      <c r="Z5" s="8" t="inlineStr">
        <is>
          <t>https://www.find-tender.service.gov.uk/Notice/087147-2026</t>
        </is>
      </c>
      <c r="AA5" s="3" t="n"/>
      <c r="AB5" s="8" t="inlineStr">
        <is>
          <t>https://www.publictendersscotland.publiccontractsscotland.gov.uk</t>
        </is>
      </c>
      <c r="AC5" s="3" t="inlineStr">
        <is>
          <t>Procurement, Teith House, Stirling, UKM77, FK7 7QA</t>
        </is>
      </c>
      <c r="AD5" s="3" t="n"/>
      <c r="AE5" s="3" t="inlineStr">
        <is>
          <t>Stirling Council seeks a Charge Point Network Operator (CPNO) to provide EV Charge Point Management System (CPMS) services for its public and fleet charging network. The contract includes migration from the existing ChargePlace Scotland platform, ongoing operation, customer support, payment processing, monitoring, reporting and account management services for approximately 200 charge points across the Stirling area.</t>
        </is>
      </c>
      <c r="AF5" s="3" t="inlineStr">
        <is>
          <t>Find a Tender</t>
        </is>
      </c>
    </row>
    <row r="6">
      <c r="A6" s="2" t="n">
        <v>8</v>
      </c>
      <c r="B6" s="3" t="inlineStr">
        <is>
          <t>Carbon / Compliance</t>
        </is>
      </c>
      <c r="C6" s="3" t="inlineStr">
        <is>
          <t>tender</t>
        </is>
      </c>
      <c r="D6" s="3" t="inlineStr">
        <is>
          <t>​​Renewable Energy Certification Integration in ASEAN​</t>
        </is>
      </c>
      <c r="E6" s="3" t="inlineStr">
        <is>
          <t>PALLADIUM INTERNATIONAL LIMITED</t>
        </is>
      </c>
      <c r="F6" s="3" t="inlineStr">
        <is>
          <t>Tom Onions</t>
        </is>
      </c>
      <c r="G6" s="3" t="inlineStr">
        <is>
          <t>expertdeployments@ukpact.co.uk</t>
        </is>
      </c>
      <c r="H6" s="3" t="inlineStr">
        <is>
          <t>0000000000</t>
        </is>
      </c>
      <c r="I6" s="3" t="n"/>
      <c r="J6" s="4" t="n">
        <v>160000</v>
      </c>
      <c r="K6" s="5" t="n">
        <v>46294.41159722222</v>
      </c>
      <c r="L6" s="6" t="n">
        <v>46310.45833333334</v>
      </c>
      <c r="M6" s="7">
        <f>IF(L6="","",INT(L6-NOW()))</f>
        <v/>
      </c>
      <c r="N6" s="6" t="n"/>
      <c r="O6" s="5" t="n">
        <v>46329</v>
      </c>
      <c r="P6" s="2" t="n">
        <v>148</v>
      </c>
      <c r="Q6" s="3" t="inlineStr">
        <is>
          <t>Open procedure (above threshold)</t>
        </is>
      </c>
      <c r="R6" s="3" t="n"/>
      <c r="S6" s="3" t="n"/>
      <c r="T6" s="3" t="inlineStr">
        <is>
          <t>Yes</t>
        </is>
      </c>
      <c r="U6" s="3" t="n"/>
      <c r="V6" s="3" t="n"/>
      <c r="W6" s="3" t="inlineStr">
        <is>
          <t>decarbonisation, net-zero, renewable electricity, renewable energy</t>
        </is>
      </c>
      <c r="X6" s="3" t="inlineStr">
        <is>
          <t>09000000</t>
        </is>
      </c>
      <c r="Y6" s="8" t="inlineStr">
        <is>
          <t>https://www.contractsfinder.service.gov.uk/Notice/30ac6008-b80d-41e2-96a1-4fceae17043b</t>
        </is>
      </c>
      <c r="Z6" s="8" t="inlineStr">
        <is>
          <t>https://www.contractsfinder.service.gov.uk/Notice/072c9766-ef50-4993-9acc-9016a7c75998</t>
        </is>
      </c>
      <c r="AA6" s="3" t="inlineStr">
        <is>
          <t>https://www.contractsfinder.service.gov.uk/Notice/30ac6008-b80d-41e2-96a1-4fceae17043b https://www.contractsfinder.service.gov.uk/Notice/Attachment/24a31762-7332-4c20-9b9d-a230e4fbe611 https://www.contractsfinder.service.gov.uk/Notice/Attachment/b65eff6c-18b1-4653-93c1-1e943fa44101 https://www.contractsfinder.service.gov.uk/Notice/Attachment/9c23fe19-c029-477c-8048-a7cef0724639</t>
        </is>
      </c>
      <c r="AB6" s="3" t="n"/>
      <c r="AC6" s="3" t="inlineStr">
        <is>
          <t>Second Floor, LONDON, EC1Y8ND</t>
        </is>
      </c>
      <c r="AD6" s="3" t="n"/>
      <c r="AE6" s="3" t="inlineStr">
        <is>
          <t>Palladium as the delivery partner for the Foreign, Commonwealth and Development Office (FCDO) funded UK Partnering for Accelerate Climate Transitions (UK PACT) programme invites you to submit a quotation for the services detailed in this RFQ. Renewable energy has seen a growing demand across the ASEAN region. This is because countries are putting more effort into pursuing energy transition, decarbonisation and net-zero commitments. Renewable energy (RE) certification has emerged as an important market-based tool to facilitate statements and assurance on renewable electricity and support government as well as the private sector in achieving their targets. In addition, RE certification would be a beneficial instrument in supporting the ASEAN Power Grid and the cross-border electricity trading in the region. Interested suppliers/consortia are encouraged to review the RfQ documentation and submit your proposal in accordance with the instructions above by the Close Date and Time. This RFQ includes the following materials: Schedule 1 - Terms of Reference Schedule 2 - Instructions for submission Schedule 3 - Terms and Conditions Annex I - RFQ Response Form Annex II - Budget and workplan template</t>
        </is>
      </c>
      <c r="AF6" s="3" t="inlineStr">
        <is>
          <t>Contracts Finder</t>
        </is>
      </c>
    </row>
    <row r="7">
      <c r="A7" s="2" t="n">
        <v>7</v>
      </c>
      <c r="B7" s="3" t="inlineStr">
        <is>
          <t>Metering / Energy Management</t>
        </is>
      </c>
      <c r="C7" s="3" t="inlineStr">
        <is>
          <t>planning</t>
        </is>
      </c>
      <c r="D7" s="3" t="inlineStr">
        <is>
          <t>The Provision of an Energy Portfolio Management System</t>
        </is>
      </c>
      <c r="E7" s="3" t="inlineStr">
        <is>
          <t>Government Commercial Agency</t>
        </is>
      </c>
      <c r="F7" s="3" t="n"/>
      <c r="G7" s="3" t="inlineStr">
        <is>
          <t>info@gca.gov.uk</t>
        </is>
      </c>
      <c r="H7" s="3" t="inlineStr">
        <is>
          <t>0345 410 2222</t>
        </is>
      </c>
      <c r="I7" s="3" t="n"/>
      <c r="J7" s="4" t="n">
        <v>1950001</v>
      </c>
      <c r="K7" s="5" t="n">
        <v>46296.35194444445</v>
      </c>
      <c r="L7" s="6" t="n"/>
      <c r="M7" s="7">
        <f>IF(L7="","",INT(L7-NOW()))</f>
        <v/>
      </c>
      <c r="N7" s="6" t="n"/>
      <c r="O7" s="5" t="n">
        <v>46295.95833333334</v>
      </c>
      <c r="P7" s="2" t="n">
        <v>1796</v>
      </c>
      <c r="Q7" s="3" t="inlineStr">
        <is>
          <t>Call-off from a dynamic purchasing system</t>
        </is>
      </c>
      <c r="R7" s="3" t="n"/>
      <c r="S7" s="3" t="n"/>
      <c r="T7" s="3" t="inlineStr">
        <is>
          <t>Yes</t>
        </is>
      </c>
      <c r="U7" s="3" t="n"/>
      <c r="V7" s="3" t="n"/>
      <c r="W7" s="3" t="inlineStr">
        <is>
          <t>meter data, renewables</t>
        </is>
      </c>
      <c r="X7" s="3" t="inlineStr">
        <is>
          <t>71314000</t>
        </is>
      </c>
      <c r="Y7" s="3" t="n"/>
      <c r="Z7" s="8" t="inlineStr">
        <is>
          <t>https://www.contractsfinder.service.gov.uk/Notice/f8acf8f1-d676-4ece-a58e-e60dea73a5c5</t>
        </is>
      </c>
      <c r="AA7" s="3" t="n"/>
      <c r="AB7" s="3" t="n"/>
      <c r="AC7" s="3" t="inlineStr">
        <is>
          <t>39 Old Hall Street, Liverpool, L39PP</t>
        </is>
      </c>
      <c r="AD7" s="3" t="n"/>
      <c r="AE7" s="3" t="inlineStr">
        <is>
          <t>Within the GCA Energy Category, we operate a managed service on behalf of the public sector, aggregating their energy demand and purchasing on the wholesale market under a number of risk strategies. In order to support these activities, we require a cloud-based energy portfolio management solution, suitable for managing the GCA Energy portfolio frameworks, which includes; c.1,200 customers, c.108,000 power / gas meters, c. 80,000 sites There is currently no system in place to meet these requirements. This requirement will run on a 3 month trial period. If after the trial period concludes successfully, the supplier will be awarded the subsequent contract term and value. The value included in this notice is for the trial period only. Any subsequent contract term is subject to further budgetary approval which, will be confirmed at the future procurement stage. The proposed system must be able to accurately record the customer portfolio data for both gas and power, including site and meter information and assigned trading strategy. Each of the meters is assigned to a customer and a site. Each meter is attached to current and future Gas / Power buying strategies with varying buying lengths. The system must support the ability for nominated energy suppliers to access the meter data for their assigned customers. We also require the ability for customers to complete a self-serve audit of their portfolio and buying strategy, including the ability to request changes and additions to t…</t>
        </is>
      </c>
      <c r="AF7" s="3" t="inlineStr">
        <is>
          <t>Contracts Finder</t>
        </is>
      </c>
    </row>
    <row r="8">
      <c r="A8" s="2" t="n">
        <v>5</v>
      </c>
      <c r="B8" s="3" t="inlineStr">
        <is>
          <t>Solar / BESS / EV</t>
        </is>
      </c>
      <c r="C8" s="3" t="inlineStr">
        <is>
          <t>tender</t>
        </is>
      </c>
      <c r="D8" s="3" t="inlineStr">
        <is>
          <t>Partick Housing Association - Gutter Cleaning, Solar Cleaning &amp; Roof Inspection Works (2026-2029)</t>
        </is>
      </c>
      <c r="E8" s="3" t="inlineStr">
        <is>
          <t>Partick Housing Association Ltd.</t>
        </is>
      </c>
      <c r="F8" s="3" t="n"/>
      <c r="G8" s="3" t="inlineStr">
        <is>
          <t>CHowe@partickha.org.uk</t>
        </is>
      </c>
      <c r="H8" s="3" t="inlineStr">
        <is>
          <t>+44 1413573773</t>
        </is>
      </c>
      <c r="I8" s="3" t="inlineStr">
        <is>
          <t>UKM82, Partick.</t>
        </is>
      </c>
      <c r="J8" s="4" t="n"/>
      <c r="K8" s="5" t="n">
        <v>46272.60097222222</v>
      </c>
      <c r="L8" s="6" t="n">
        <v>46302.45833333334</v>
      </c>
      <c r="M8" s="7">
        <f>IF(L8="","",INT(L8-NOW()))</f>
        <v/>
      </c>
      <c r="N8" s="6" t="n"/>
      <c r="O8" s="5" t="n"/>
      <c r="P8" s="2" t="n">
        <v>1080</v>
      </c>
      <c r="Q8" s="3" t="inlineStr">
        <is>
          <t>Open procedure</t>
        </is>
      </c>
      <c r="R8" s="3" t="n"/>
      <c r="S8" s="3" t="n">
        <v>1</v>
      </c>
      <c r="T8" s="3" t="n"/>
      <c r="U8" s="3" t="inlineStr">
        <is>
          <t>Quality (40%); price (60%)</t>
        </is>
      </c>
      <c r="V8" s="3" t="inlineStr">
        <is>
          <t>suitability (The relevant requirement is set out in the SPD, Part IV Selection Criteria [4A1a] Enrolment in a relevant professional …)</t>
        </is>
      </c>
      <c r="W8" s="3" t="inlineStr">
        <is>
          <t>solar</t>
        </is>
      </c>
      <c r="X8" s="3" t="inlineStr">
        <is>
          <t>50000000</t>
        </is>
      </c>
      <c r="Y8" s="8" t="inlineStr">
        <is>
          <t>http://www.publiccontractsscotland.gov.uk</t>
        </is>
      </c>
      <c r="Z8" s="8" t="inlineStr">
        <is>
          <t>https://www.find-tender.service.gov.uk/Notice/084524-2026</t>
        </is>
      </c>
      <c r="AA8" s="3" t="n"/>
      <c r="AB8" s="8" t="inlineStr">
        <is>
          <t>http://www.publiccontractsscotland.gov.uk</t>
        </is>
      </c>
      <c r="AC8" s="3" t="inlineStr">
        <is>
          <t>10 Mansfield Street, Glasgow, UKM82, G11 5QP</t>
        </is>
      </c>
      <c r="AD8" s="3" t="n"/>
      <c r="AE8" s="3" t="inlineStr">
        <is>
          <t>The provision of gutter cleaning, solar cleaning and roof inspection works and slope mounted anchor inspection works. The contract period will be for 36 months. The programme of gutter cleaning, solar cleaning and inspections should commence within the first month of the contract.</t>
        </is>
      </c>
      <c r="AF8" s="3" t="inlineStr">
        <is>
          <t>Find a Tender</t>
        </is>
      </c>
    </row>
    <row r="9">
      <c r="A9" s="2" t="n">
        <v>5</v>
      </c>
      <c r="B9" s="3" t="inlineStr">
        <is>
          <t>Energy Procurement / Brokerage</t>
        </is>
      </c>
      <c r="C9" s="3" t="inlineStr">
        <is>
          <t>tender</t>
        </is>
      </c>
      <c r="D9" s="3" t="inlineStr">
        <is>
          <t>Children and Young People's Residential Placements Flexible Procurement System (Round 19)</t>
        </is>
      </c>
      <c r="E9" s="3" t="inlineStr">
        <is>
          <t>Trafford Council</t>
        </is>
      </c>
      <c r="F9" s="3" t="inlineStr">
        <is>
          <t>Tim Kulewa</t>
        </is>
      </c>
      <c r="G9" s="3" t="inlineStr">
        <is>
          <t>tim.kulewa@star-procurement.gov.uk</t>
        </is>
      </c>
      <c r="H9" s="3" t="inlineStr">
        <is>
          <t>+44 1619121616</t>
        </is>
      </c>
      <c r="I9" s="3" t="inlineStr">
        <is>
          <t>England</t>
        </is>
      </c>
      <c r="J9" s="4" t="n">
        <v>1110000000</v>
      </c>
      <c r="K9" s="5" t="n">
        <v>46290.60637731481</v>
      </c>
      <c r="L9" s="6" t="n">
        <v>46325.5</v>
      </c>
      <c r="M9" s="7">
        <f>IF(L9="","",INT(L9-NOW()))</f>
        <v/>
      </c>
      <c r="N9" s="6" t="n"/>
      <c r="O9" s="5" t="n">
        <v>46357</v>
      </c>
      <c r="P9" s="2" t="n">
        <v>396</v>
      </c>
      <c r="Q9" s="3" t="inlineStr">
        <is>
          <t>Open procedure (above threshold)</t>
        </is>
      </c>
      <c r="R9" s="3" t="n"/>
      <c r="S9" s="3" t="n"/>
      <c r="T9" s="3" t="inlineStr">
        <is>
          <t>Yes</t>
        </is>
      </c>
      <c r="U9" s="3" t="n"/>
      <c r="V9" s="3" t="n"/>
      <c r="W9" s="3" t="inlineStr">
        <is>
          <t>flexible procurement</t>
        </is>
      </c>
      <c r="X9" s="3" t="inlineStr">
        <is>
          <t>85300000</t>
        </is>
      </c>
      <c r="Y9" s="8" t="inlineStr">
        <is>
          <t>https://www.contractsfinder.service.gov.uk/Notice/9566b75e-d76e-4674-b2fb-59a111017418</t>
        </is>
      </c>
      <c r="Z9" s="8" t="inlineStr">
        <is>
          <t>https://www.contractsfinder.service.gov.uk/Notice/0ccf08fa-6d39-4244-ba62-9562b0a08b43</t>
        </is>
      </c>
      <c r="AA9" s="3" t="inlineStr">
        <is>
          <t>https://www.contractsfinder.service.gov.uk/Notice/9566b75e-d76e-4674-b2fb-59a111017418 https://procontract.due-north.com/Advert?advertId=72559434-1f29-f111-813c-005056b64545</t>
        </is>
      </c>
      <c r="AB9" s="8" t="inlineStr">
        <is>
          <t>http://www.trafford.gov.uk/</t>
        </is>
      </c>
      <c r="AC9" s="3" t="inlineStr">
        <is>
          <t>1st Floor, Trafford Town Hall, Stretford, M32 0TH</t>
        </is>
      </c>
      <c r="AD9" s="3" t="n"/>
      <c r="AE9" s="3" t="inlineStr">
        <is>
          <t>The North West Local Authorities are developing a Flexible Procurement System (FPS) to facilitate the commissioning of high quality Children's Residential Placements. We are looking to knowledgeable and experienced providers to work with us to transform the lives of children, enabling them to break down barriers and turn challenging situations into positive ones. Through the FPS we are looking for sustainability, transformation and innovation with providers and Local Authorities and wider partners to work together to ensure each one of our children has the capacity, skills, independence and resilience they will need to meet the challenges of adult life in the 21st century.</t>
        </is>
      </c>
      <c r="AF9" s="3" t="inlineStr">
        <is>
          <t>Contracts Finder</t>
        </is>
      </c>
    </row>
    <row r="10">
      <c r="A10" s="2" t="n">
        <v>12</v>
      </c>
      <c r="B10" s="3" t="inlineStr">
        <is>
          <t>Solar / BESS / EV</t>
        </is>
      </c>
      <c r="C10" s="3" t="inlineStr">
        <is>
          <t>tender</t>
        </is>
      </c>
      <c r="D10" s="3" t="inlineStr">
        <is>
          <t>EV Charging Infrastructure</t>
        </is>
      </c>
      <c r="E10" s="3" t="inlineStr">
        <is>
          <t>University of Dundee</t>
        </is>
      </c>
      <c r="F10" s="3" t="inlineStr">
        <is>
          <t>Stewart Hamilton Kerr</t>
        </is>
      </c>
      <c r="G10" s="3" t="inlineStr">
        <is>
          <t>s.v.kerr@dundee.ac.uk</t>
        </is>
      </c>
      <c r="H10" s="3" t="inlineStr">
        <is>
          <t>+44 1382386810</t>
        </is>
      </c>
      <c r="I10" s="3" t="inlineStr">
        <is>
          <t>UKM71, Dundee</t>
        </is>
      </c>
      <c r="J10" s="4" t="n">
        <v>160000</v>
      </c>
      <c r="K10" s="5" t="n">
        <v>46262.66186342593</v>
      </c>
      <c r="L10" s="6" t="n">
        <v>46300.45833333334</v>
      </c>
      <c r="M10" s="7">
        <f>IF(L10="","",INT(L10-NOW()))</f>
        <v/>
      </c>
      <c r="N10" s="6" t="n"/>
      <c r="O10" s="5" t="n"/>
      <c r="P10" s="2" t="n">
        <v>7200</v>
      </c>
      <c r="Q10" s="3" t="inlineStr">
        <is>
          <t>Open procedure</t>
        </is>
      </c>
      <c r="R10" s="3" t="n"/>
      <c r="S10" s="3" t="n">
        <v>1</v>
      </c>
      <c r="T10" s="3" t="n"/>
      <c r="U10" s="3" t="inlineStr">
        <is>
          <t>Quality (60); price (40)</t>
        </is>
      </c>
      <c r="V10" s="3" t="n"/>
      <c r="W10" s="3" t="inlineStr">
        <is>
          <t>charge points, charging infrastructure, electric vehicle charging, ev charging</t>
        </is>
      </c>
      <c r="X10" s="3" t="inlineStr">
        <is>
          <t>50230000, 31158000, 31158100, 34900000, 31600000, 31610000, 34144900, 45311000, 45317000, 50000000</t>
        </is>
      </c>
      <c r="Y10" s="8" t="inlineStr">
        <is>
          <t>http://www.publiccontractsscotland.gov.uk</t>
        </is>
      </c>
      <c r="Z10" s="8" t="inlineStr">
        <is>
          <t>https://www.find-tender.service.gov.uk/Notice/082366-2026</t>
        </is>
      </c>
      <c r="AA10" s="3" t="n"/>
      <c r="AB10" s="8" t="inlineStr">
        <is>
          <t>http://www.publiccontractsscotland.gov.uk</t>
        </is>
      </c>
      <c r="AC10" s="3" t="inlineStr">
        <is>
          <t>Procurement, 3rd Floor, Tower Building, Nethergate, Dundee, UKM71, DD1 4HN</t>
        </is>
      </c>
      <c r="AD10" s="3" t="n"/>
      <c r="AE10" s="3" t="inlineStr">
        <is>
          <t>The University require a new Contract for the Supply and maintenance of fully funded EV Charger Infrastructure. The current charge points require upgrading, due to their age and they are out of manufactures warranty. This new Contract opportunity will be for - Supply, Installation and Maintenance of Electric Vehicle Charging Equipment and Associated Items.</t>
        </is>
      </c>
      <c r="AF10" s="3" t="inlineStr">
        <is>
          <t>Find a Tender</t>
        </is>
      </c>
    </row>
    <row r="11">
      <c r="A11" s="2" t="n">
        <v>7</v>
      </c>
      <c r="B11" s="3" t="inlineStr">
        <is>
          <t>Carbon / Compliance</t>
        </is>
      </c>
      <c r="C11" s="3" t="inlineStr">
        <is>
          <t>tender</t>
        </is>
      </c>
      <c r="D11" s="3" t="inlineStr">
        <is>
          <t>Non-Domestic EPCs</t>
        </is>
      </c>
      <c r="E11" s="3" t="inlineStr">
        <is>
          <t>Rochdale Boroughwide Housing</t>
        </is>
      </c>
      <c r="F11" s="3" t="inlineStr">
        <is>
          <t>Lewis Tomlinson</t>
        </is>
      </c>
      <c r="G11" s="3" t="inlineStr">
        <is>
          <t>Lewis.Tomlinson@rbh.org.uk</t>
        </is>
      </c>
      <c r="H11" s="3" t="inlineStr">
        <is>
          <t>+44 1706273778</t>
        </is>
      </c>
      <c r="I11" s="3" t="inlineStr">
        <is>
          <t>England</t>
        </is>
      </c>
      <c r="J11" s="4" t="n">
        <v>25000</v>
      </c>
      <c r="K11" s="5" t="n">
        <v>46269.38744212963</v>
      </c>
      <c r="L11" s="6" t="n">
        <v>46283.45833333334</v>
      </c>
      <c r="M11" s="7">
        <f>IF(L11="","",INT(L11-NOW()))</f>
        <v/>
      </c>
      <c r="N11" s="6" t="n"/>
      <c r="O11" s="5" t="n">
        <v>46304.95833333334</v>
      </c>
      <c r="P11" s="2" t="n">
        <v>731</v>
      </c>
      <c r="Q11" s="3" t="inlineStr">
        <is>
          <t>Open procedure (below threshold)</t>
        </is>
      </c>
      <c r="R11" s="3" t="n"/>
      <c r="S11" s="3" t="n"/>
      <c r="T11" s="3" t="inlineStr">
        <is>
          <t>Yes</t>
        </is>
      </c>
      <c r="U11" s="3" t="n"/>
      <c r="V11" s="3" t="n"/>
      <c r="W11" s="3" t="inlineStr">
        <is>
          <t>energy performance certificates, epc, epcs</t>
        </is>
      </c>
      <c r="X11" s="3" t="inlineStr">
        <is>
          <t>73000000</t>
        </is>
      </c>
      <c r="Y11" s="8" t="inlineStr">
        <is>
          <t>https://www.contractsfinder.service.gov.uk/Notice/c684c2d3-71be-4a22-bea1-56816b71f563</t>
        </is>
      </c>
      <c r="Z11" s="8" t="inlineStr">
        <is>
          <t>https://www.contractsfinder.service.gov.uk/Notice/be55a7c0-3588-49be-8500-1fd682981669</t>
        </is>
      </c>
      <c r="AA11" s="8" t="inlineStr">
        <is>
          <t>https://www.contractsfinder.service.gov.uk/Notice/c684c2d3-71be-4a22-bea1-56816b71f563</t>
        </is>
      </c>
      <c r="AB11" s="8" t="inlineStr">
        <is>
          <t>http://www.rbhousing.org.uk/</t>
        </is>
      </c>
      <c r="AC11" s="3" t="inlineStr">
        <is>
          <t>Unique Enterprise Centre, Rochdale, OL162UP</t>
        </is>
      </c>
      <c r="AD11" s="3" t="n"/>
      <c r="AE11" s="3" t="inlineStr">
        <is>
          <t>Non-Domestic EPCs RBH are looking for a supplier that can carry out non-domestic Energy Performance Certificates (EPC's) for properties within the society's portfolio. This will include but is not limited to shops, community centres, community bases, offices, stores. In carrying out this service, RBH will require • A prompt response/acknowledgement to email instructions (within 2 working days). • To arrange appointments directly with customer (if occupied) within 2 working days of instruction. • Prompt collection and return of keys from RBH office/hubs within the following postcode areas (OL10, OL11, OL12, OL15, OL16, M24, BL9). • EPC lodgement within 5 days of access to the property. • Provide link to lodged EPC and copy of XML file via email within 5 working days of EPC lodgement.</t>
        </is>
      </c>
      <c r="AF11" s="3" t="inlineStr">
        <is>
          <t>Contracts Finder</t>
        </is>
      </c>
    </row>
    <row r="12">
      <c r="A12" s="2" t="n">
        <v>6</v>
      </c>
      <c r="B12" s="3" t="inlineStr">
        <is>
          <t>Carbon / Compliance</t>
        </is>
      </c>
      <c r="C12" s="3" t="inlineStr">
        <is>
          <t>tender</t>
        </is>
      </c>
      <c r="D12" s="3" t="inlineStr">
        <is>
          <t>Pakistan NDC 3.0 Delivery Coordination Mechanism (Federal-Provincial Coordination and Tracking)</t>
        </is>
      </c>
      <c r="E12" s="3" t="inlineStr">
        <is>
          <t>PALLADIUM INTERNATIONAL LIMITED</t>
        </is>
      </c>
      <c r="F12" s="3" t="n"/>
      <c r="G12" s="3" t="inlineStr">
        <is>
          <t>targetedfund@ukpact.co.uk</t>
        </is>
      </c>
      <c r="H12" s="3" t="n"/>
      <c r="I12" s="3" t="n"/>
      <c r="J12" s="4" t="n">
        <v>250000</v>
      </c>
      <c r="K12" s="5" t="n">
        <v>46282.40010416666</v>
      </c>
      <c r="L12" s="6" t="n">
        <v>46290.66666666666</v>
      </c>
      <c r="M12" s="7">
        <f>IF(L12="","",INT(L12-NOW()))</f>
        <v/>
      </c>
      <c r="N12" s="6" t="n"/>
      <c r="O12" s="5" t="n">
        <v>46327</v>
      </c>
      <c r="P12" s="2" t="n">
        <v>363</v>
      </c>
      <c r="Q12" s="3" t="inlineStr">
        <is>
          <t>Open procedure (above threshold)</t>
        </is>
      </c>
      <c r="R12" s="3" t="n"/>
      <c r="S12" s="3" t="n"/>
      <c r="T12" s="3" t="inlineStr">
        <is>
          <t>Yes</t>
        </is>
      </c>
      <c r="U12" s="3" t="n"/>
      <c r="V12" s="3" t="n"/>
      <c r="W12" s="3" t="inlineStr">
        <is>
          <t>greenhouse gas</t>
        </is>
      </c>
      <c r="X12" s="3" t="inlineStr">
        <is>
          <t>71314000</t>
        </is>
      </c>
      <c r="Y12" s="8" t="inlineStr">
        <is>
          <t>https://www.contractsfinder.service.gov.uk/Notice/f9613a96-8a56-4f2f-b0e6-04b7e416ae1c</t>
        </is>
      </c>
      <c r="Z12" s="8" t="inlineStr">
        <is>
          <t>https://www.contractsfinder.service.gov.uk/Notice/cb5590f6-5c46-427f-869c-3688e693c300</t>
        </is>
      </c>
      <c r="AA12" s="3" t="inlineStr">
        <is>
          <t>https://www.contractsfinder.service.gov.uk/Notice/f9613a96-8a56-4f2f-b0e6-04b7e416ae1c https://www.contractsfinder.service.gov.uk/Notice/Attachment/954bd4cc-3272-4d02-91e6-bac3d146d7ba https://www.contractsfinder.service.gov.uk/Notice/Attachment/ff9c8bfd-467b-4f96-b96d-9b13333c8abc https://www.contractsfinder.service.gov.uk/Notice/Attachment/19d894e0-18e8-43a8-9c4c-7c0391dd0f9e</t>
        </is>
      </c>
      <c r="AB12" s="3" t="n"/>
      <c r="AC12" s="3" t="inlineStr">
        <is>
          <t>16th Floor, Hylo, 105 Bunhill Row, London, EC1Y 8LZ</t>
        </is>
      </c>
      <c r="AD12" s="3" t="n"/>
      <c r="AE12" s="3" t="inlineStr">
        <is>
          <t>The UK Government's Partnering for Accelerated Climate Transitions (UK PACT) programme is inviting proposals from qualified suppliers or consortia to deliver technical assistance to the Government of Pakistan. Pakistan has committed to reducing projected greenhouse gas emissions by 50% by 2035 through its Nationally Determined Contribution (NDC) 3.0. Delivering this target will depend heavily on action at the provincial level, where responsibility for many climate-relevant sectors rests. While the Government of Pakistan has established new coordination arrangements through the National Climate Finance Strategy (NCFS), challenges remain around federal-provincial coordination, implementation tracking, climate finance visibility, and reporting progress against national climate commitments. The assignment will provide targeted technical assistance to support the Ministry of Climate Change and Environmental Coordination (MoCC&amp;EC), the Pakistan Climate Change Authority (PCCA), and provincial governments to establish and operationalise a practical federal-provincial coordination and tracking mechanism for NDC 3.0 implementation. The project will strengthen institutional coordination, improve monitoring and reporting of climate actions and investments, build government capacity, and support the mobilisation of climate finance. The intervention will also integrate Gender Equality, Disability and Social Inclusion (GEDSI) considerations to promote more inclusive climate governance and …</t>
        </is>
      </c>
      <c r="AF12" s="3" t="inlineStr">
        <is>
          <t>Contracts Finder</t>
        </is>
      </c>
    </row>
    <row r="13">
      <c r="A13" s="2" t="n">
        <v>5</v>
      </c>
      <c r="B13" s="3" t="inlineStr">
        <is>
          <t>Energy (CPV match)</t>
        </is>
      </c>
      <c r="C13" s="3" t="inlineStr">
        <is>
          <t>tender</t>
        </is>
      </c>
      <c r="D13" s="3" t="inlineStr">
        <is>
          <t>Strengthening Carbon Market Readiness and Article 6 Operationalisation in Cameroon</t>
        </is>
      </c>
      <c r="E13" s="3" t="inlineStr">
        <is>
          <t>PALLADIUM INTERNATIONAL LIMITED</t>
        </is>
      </c>
      <c r="F13" s="3" t="n"/>
      <c r="G13" s="3" t="inlineStr">
        <is>
          <t>targetedfund@ukpact.co.uk</t>
        </is>
      </c>
      <c r="H13" s="3" t="n"/>
      <c r="I13" s="3" t="n"/>
      <c r="J13" s="4" t="n">
        <v>300000</v>
      </c>
      <c r="K13" s="5" t="n">
        <v>46261.62648148148</v>
      </c>
      <c r="L13" s="6" t="n">
        <v>46287.66666666666</v>
      </c>
      <c r="M13" s="7">
        <f>IF(L13="","",INT(L13-NOW()))</f>
        <v/>
      </c>
      <c r="N13" s="6" t="n"/>
      <c r="O13" s="5" t="n">
        <v>46321</v>
      </c>
      <c r="P13" s="2" t="n">
        <v>339</v>
      </c>
      <c r="Q13" s="3" t="inlineStr">
        <is>
          <t>Open procedure (above threshold)</t>
        </is>
      </c>
      <c r="R13" s="3" t="n"/>
      <c r="S13" s="3" t="n"/>
      <c r="T13" s="3" t="inlineStr">
        <is>
          <t>Yes</t>
        </is>
      </c>
      <c r="U13" s="3" t="n"/>
      <c r="V13" s="3" t="n"/>
      <c r="W13" s="3" t="n"/>
      <c r="X13" s="3" t="inlineStr">
        <is>
          <t>71314000</t>
        </is>
      </c>
      <c r="Y13" s="8" t="inlineStr">
        <is>
          <t>https://www.contractsfinder.service.gov.uk/Notice/04a3aa0a-c3ed-4afc-8b07-4511a46230b3</t>
        </is>
      </c>
      <c r="Z13" s="8" t="inlineStr">
        <is>
          <t>https://www.contractsfinder.service.gov.uk/Notice/d7504def-9d38-4b6d-8406-f9889eb4a4b6</t>
        </is>
      </c>
      <c r="AA13" s="3" t="inlineStr">
        <is>
          <t>https://www.contractsfinder.service.gov.uk/Notice/04a3aa0a-c3ed-4afc-8b07-4511a46230b3 https://www.contractsfinder.service.gov.uk/Notice/Attachment/adafe121-5f0d-4423-b5b2-911a032943a0 https://www.contractsfinder.service.gov.uk/Notice/Attachment/b7bcd166-0d2a-456a-84cd-52ba9f7e17a7 https://www.contractsfinder.service.gov.uk/Notice/Attachment/9cac4aa6-4994-4d69-9847-47be5539c20b</t>
        </is>
      </c>
      <c r="AB13" s="3" t="n"/>
      <c r="AC13" s="3" t="inlineStr">
        <is>
          <t>16th Floor, Hylo, 105 Bunhill Row, London, EC1Y8ND</t>
        </is>
      </c>
      <c r="AD13" s="3" t="n"/>
      <c r="AE13" s="3" t="inlineStr">
        <is>
          <t>The UK Government's Partnering for Accelerated Climate Transitions (UK PACT) programme is inviting proposals from qualified suppliers or consortia to deliver technical assistance to the Government of Cameroon. Cameroon, situated within the Congo Basin and home to significant forest carbon resources, is seeking to strengthen its readiness to participate in high-integrity international carbon markets, including Article 6 of the Paris Agreement, the Carbon Offsetting and Reduction Scheme for International Aviation (CORSIA), and voluntary carbon markets. While the country has considerable potential to generate climate finance through carbon markets and support implementation of its Nationally Determined Contribution (NDC), key legal, institutional, and operational gaps continue to constrain effective participation. This assignment will provide targeted technical assistance and capacity building to support the Government of Cameroon in establishing the governance frameworks, institutional arrangements, and regulatory systems required to operationalise carbon market participation. Working closely with relevant government institutions, including the Ministry of Environment, Nature Protection and Sustainable Development (MINEPDED), the Ministry of Forestry and Wildlife (MINFOF), the Ministry of Finance (MINFI), and other key stakeholders, the project will strengthen carbon market governance, Article 6 implementation readiness, project approval systems, and institutional coordination…</t>
        </is>
      </c>
      <c r="AF13" s="3" t="inlineStr">
        <is>
          <t>Contracts Finder</t>
        </is>
      </c>
    </row>
    <row r="14">
      <c r="A14" s="2" t="n">
        <v>5</v>
      </c>
      <c r="B14" s="3" t="inlineStr">
        <is>
          <t>Carbon / Compliance</t>
        </is>
      </c>
      <c r="C14" s="3" t="inlineStr">
        <is>
          <t>tender</t>
        </is>
      </c>
      <c r="D14" s="3" t="inlineStr">
        <is>
          <t>Net Zero - Retrofit Works (Externals) - Design and Build</t>
        </is>
      </c>
      <c r="E14" s="3" t="inlineStr">
        <is>
          <t>Renfrewshire Council</t>
        </is>
      </c>
      <c r="F14" s="3" t="inlineStr">
        <is>
          <t>Kevin Milliken</t>
        </is>
      </c>
      <c r="G14" s="3" t="inlineStr">
        <is>
          <t>kevin.milliken@renfrewshire.gov.uk</t>
        </is>
      </c>
      <c r="H14" s="3" t="inlineStr">
        <is>
          <t>+44 3003000300</t>
        </is>
      </c>
      <c r="I14" s="3" t="inlineStr">
        <is>
          <t>UKM83, Renfrewshire</t>
        </is>
      </c>
      <c r="J14" s="4" t="n">
        <v>135000000</v>
      </c>
      <c r="K14" s="5" t="n">
        <v>46265.35826388889</v>
      </c>
      <c r="L14" s="6" t="n">
        <v>46300.45833333334</v>
      </c>
      <c r="M14" s="7">
        <f>IF(L14="","",INT(L14-NOW()))</f>
        <v/>
      </c>
      <c r="N14" s="6" t="n"/>
      <c r="O14" s="5" t="n"/>
      <c r="P14" s="2" t="n">
        <v>2520</v>
      </c>
      <c r="Q14" s="3" t="inlineStr">
        <is>
          <t>Restricted procedure</t>
        </is>
      </c>
      <c r="R14" s="3" t="n"/>
      <c r="S14" s="3" t="n">
        <v>1</v>
      </c>
      <c r="T14" s="3" t="n"/>
      <c r="U14" s="3" t="inlineStr">
        <is>
          <t>Quality (60); price (40)</t>
        </is>
      </c>
      <c r="V14" s="3" t="inlineStr">
        <is>
          <t>suitability (Please refer to the Invitation to Participate Document.)</t>
        </is>
      </c>
      <c r="W14" s="3" t="inlineStr">
        <is>
          <t>energy efficiency, net zero</t>
        </is>
      </c>
      <c r="X14" s="3" t="inlineStr">
        <is>
          <t>45260000, 45320000, 45210000</t>
        </is>
      </c>
      <c r="Y14" s="3" t="n"/>
      <c r="Z14" s="8" t="inlineStr">
        <is>
          <t>https://www.find-tender.service.gov.uk/Notice/082401-2026</t>
        </is>
      </c>
      <c r="AA14" s="3" t="n"/>
      <c r="AB14" s="8" t="inlineStr">
        <is>
          <t>https://www.publictenderscotland.publiccontractsscotland.gov.uk/</t>
        </is>
      </c>
      <c r="AC14" s="3" t="inlineStr">
        <is>
          <t>Renfrewshire House, Cotton Street, Paisley, UKM83, PA1 1JB</t>
        </is>
      </c>
      <c r="AD14" s="3" t="n"/>
      <c r="AE14" s="3" t="inlineStr">
        <is>
          <t>This Contract is for the Design, Build and Delivery of retrofit external works to existing wholly owned and mixed-tenure residential properties throughout Renfrewshire. The primary objective is to enhance the energy efficiency and thermal performance of the housing stock. For the initial contract term of 2 years, the Council will provide the design information, using the designs submitted by ECD Architects who were contracted to provide this service. The appointed Contractor will be responsible for the supply and installation of the works only during the initial term. From the commencement of the first extension period, responsibility will transfer to the Contractor, who will undertake both the design and build elements for the remainder of the Contract.</t>
        </is>
      </c>
      <c r="AF14" s="3" t="inlineStr">
        <is>
          <t>Find a Tender</t>
        </is>
      </c>
    </row>
  </sheetData>
  <autoFilter ref="A1:AF14"/>
  <conditionalFormatting sqref="M2:M14">
    <cfRule type="cellIs" priority="1" operator="between" dxfId="0">
      <formula>0</formula>
      <formula>14</formula>
    </cfRule>
    <cfRule type="cellIs" priority="2" operator="greaterThan" dxfId="1">
      <formula>14</formula>
    </cfRule>
  </conditionalFormatting>
  <hyperlinks>
    <hyperlink xmlns:r="http://schemas.openxmlformats.org/officeDocument/2006/relationships" ref="Y2" r:id="rId1"/>
    <hyperlink xmlns:r="http://schemas.openxmlformats.org/officeDocument/2006/relationships" ref="Z2" r:id="rId2"/>
    <hyperlink xmlns:r="http://schemas.openxmlformats.org/officeDocument/2006/relationships" ref="AA2" r:id="rId3"/>
    <hyperlink xmlns:r="http://schemas.openxmlformats.org/officeDocument/2006/relationships" ref="AB2" r:id="rId4"/>
    <hyperlink xmlns:r="http://schemas.openxmlformats.org/officeDocument/2006/relationships" ref="Y3" r:id="rId5"/>
    <hyperlink xmlns:r="http://schemas.openxmlformats.org/officeDocument/2006/relationships" ref="Z3" r:id="rId6"/>
    <hyperlink xmlns:r="http://schemas.openxmlformats.org/officeDocument/2006/relationships" ref="AB3" r:id="rId7"/>
    <hyperlink xmlns:r="http://schemas.openxmlformats.org/officeDocument/2006/relationships" ref="Y4" r:id="rId8"/>
    <hyperlink xmlns:r="http://schemas.openxmlformats.org/officeDocument/2006/relationships" ref="Z4" r:id="rId9"/>
    <hyperlink xmlns:r="http://schemas.openxmlformats.org/officeDocument/2006/relationships" ref="Y5" r:id="rId10"/>
    <hyperlink xmlns:r="http://schemas.openxmlformats.org/officeDocument/2006/relationships" ref="Z5" r:id="rId11"/>
    <hyperlink xmlns:r="http://schemas.openxmlformats.org/officeDocument/2006/relationships" ref="AB5" r:id="rId12"/>
    <hyperlink xmlns:r="http://schemas.openxmlformats.org/officeDocument/2006/relationships" ref="Y6" r:id="rId13"/>
    <hyperlink xmlns:r="http://schemas.openxmlformats.org/officeDocument/2006/relationships" ref="Z6" r:id="rId14"/>
    <hyperlink xmlns:r="http://schemas.openxmlformats.org/officeDocument/2006/relationships" ref="Z7" r:id="rId15"/>
    <hyperlink xmlns:r="http://schemas.openxmlformats.org/officeDocument/2006/relationships" ref="Y8" r:id="rId16"/>
    <hyperlink xmlns:r="http://schemas.openxmlformats.org/officeDocument/2006/relationships" ref="Z8" r:id="rId17"/>
    <hyperlink xmlns:r="http://schemas.openxmlformats.org/officeDocument/2006/relationships" ref="AB8" r:id="rId18"/>
    <hyperlink xmlns:r="http://schemas.openxmlformats.org/officeDocument/2006/relationships" ref="Y9" r:id="rId19"/>
    <hyperlink xmlns:r="http://schemas.openxmlformats.org/officeDocument/2006/relationships" ref="Z9" r:id="rId20"/>
    <hyperlink xmlns:r="http://schemas.openxmlformats.org/officeDocument/2006/relationships" ref="AB9" r:id="rId21"/>
    <hyperlink xmlns:r="http://schemas.openxmlformats.org/officeDocument/2006/relationships" ref="Y10" r:id="rId22"/>
    <hyperlink xmlns:r="http://schemas.openxmlformats.org/officeDocument/2006/relationships" ref="Z10" r:id="rId23"/>
    <hyperlink xmlns:r="http://schemas.openxmlformats.org/officeDocument/2006/relationships" ref="AB10" r:id="rId24"/>
    <hyperlink xmlns:r="http://schemas.openxmlformats.org/officeDocument/2006/relationships" ref="Y11" r:id="rId25"/>
    <hyperlink xmlns:r="http://schemas.openxmlformats.org/officeDocument/2006/relationships" ref="Z11" r:id="rId26"/>
    <hyperlink xmlns:r="http://schemas.openxmlformats.org/officeDocument/2006/relationships" ref="AA11" r:id="rId27"/>
    <hyperlink xmlns:r="http://schemas.openxmlformats.org/officeDocument/2006/relationships" ref="AB11" r:id="rId28"/>
    <hyperlink xmlns:r="http://schemas.openxmlformats.org/officeDocument/2006/relationships" ref="Y12" r:id="rId29"/>
    <hyperlink xmlns:r="http://schemas.openxmlformats.org/officeDocument/2006/relationships" ref="Z12" r:id="rId30"/>
    <hyperlink xmlns:r="http://schemas.openxmlformats.org/officeDocument/2006/relationships" ref="Y13" r:id="rId31"/>
    <hyperlink xmlns:r="http://schemas.openxmlformats.org/officeDocument/2006/relationships" ref="Z13" r:id="rId32"/>
    <hyperlink xmlns:r="http://schemas.openxmlformats.org/officeDocument/2006/relationships" ref="Z14" r:id="rId33"/>
    <hyperlink xmlns:r="http://schemas.openxmlformats.org/officeDocument/2006/relationships" ref="AB14" r:id="rId34"/>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34" customWidth="1" min="1" max="1"/>
    <col width="22" customWidth="1" min="2" max="2"/>
    <col width="32" customWidth="1" min="3" max="3"/>
    <col width="16" customWidth="1" min="4" max="4"/>
    <col width="28" customWidth="1" min="5" max="5"/>
    <col width="40" customWidth="1" min="6" max="6"/>
    <col width="16" customWidth="1" min="7" max="7"/>
    <col width="9" customWidth="1" min="8" max="8"/>
    <col width="70" customWidth="1" min="9" max="9"/>
  </cols>
  <sheetData>
    <row r="1" ht="32" customHeight="1">
      <c r="A1" s="1" t="inlineStr">
        <is>
          <t>Buyer</t>
        </is>
      </c>
      <c r="B1" s="1" t="inlineStr">
        <is>
          <t>Contact name</t>
        </is>
      </c>
      <c r="C1" s="1" t="inlineStr">
        <is>
          <t>Email</t>
        </is>
      </c>
      <c r="D1" s="1" t="inlineStr">
        <is>
          <t>Phone</t>
        </is>
      </c>
      <c r="E1" s="1" t="inlineStr">
        <is>
          <t>Website</t>
        </is>
      </c>
      <c r="F1" s="1" t="inlineStr">
        <is>
          <t>Address</t>
        </is>
      </c>
      <c r="G1" s="1" t="inlineStr">
        <is>
          <t>Region</t>
        </is>
      </c>
      <c r="H1" s="1" t="inlineStr">
        <is>
          <t>Relevant notices</t>
        </is>
      </c>
      <c r="I1" s="1" t="inlineStr">
        <is>
          <t>Example notices</t>
        </is>
      </c>
    </row>
    <row r="2">
      <c r="A2" s="3" t="inlineStr">
        <is>
          <t>PALLADIUM INTERNATIONAL LIMITED</t>
        </is>
      </c>
      <c r="B2" s="3" t="n"/>
      <c r="C2" s="3" t="inlineStr">
        <is>
          <t>targetedfund@ukpact.co.uk</t>
        </is>
      </c>
      <c r="D2" s="3" t="n"/>
      <c r="E2" s="3" t="n"/>
      <c r="F2" s="3" t="inlineStr">
        <is>
          <t>16th Floor, Hylo, 105 Bunhill Row, London, EC1Y 8LZ</t>
        </is>
      </c>
      <c r="G2" s="3" t="n"/>
      <c r="H2" s="2" t="n">
        <v>2</v>
      </c>
      <c r="I2" s="3" t="inlineStr">
        <is>
          <t>Pakistan NDC 3.0 Delivery Coordination Mechanism (Federal-Provincial Coordination and Tracking) | Strengthening Carbon Market Readiness and Article 6 Operationalisation in Cameroon</t>
        </is>
      </c>
    </row>
    <row r="3">
      <c r="A3" s="3" t="inlineStr">
        <is>
          <t>Chemonics International, Inc.</t>
        </is>
      </c>
      <c r="B3" s="3" t="inlineStr">
        <is>
          <t>Iryna Marochkanych</t>
        </is>
      </c>
      <c r="C3" s="3" t="inlineStr">
        <is>
          <t>pfruprocurement@chemonics.com</t>
        </is>
      </c>
      <c r="D3" s="3" t="inlineStr">
        <is>
          <t>+12029553300</t>
        </is>
      </c>
      <c r="E3" s="3" t="n"/>
      <c r="F3" s="3" t="inlineStr">
        <is>
          <t>Ukraine, Kyiv, EC1M 5QL</t>
        </is>
      </c>
      <c r="G3" s="3" t="n"/>
      <c r="H3" s="2" t="n">
        <v>1</v>
      </c>
      <c r="I3" s="3" t="inlineStr">
        <is>
          <t>Procurement of Solar Power Systems</t>
        </is>
      </c>
    </row>
    <row r="4">
      <c r="A4" s="3" t="inlineStr">
        <is>
          <t>Chichester College Group</t>
        </is>
      </c>
      <c r="B4" s="3" t="inlineStr">
        <is>
          <t>Hayley Abdo</t>
        </is>
      </c>
      <c r="C4" s="3" t="inlineStr">
        <is>
          <t>support@multiquote.com</t>
        </is>
      </c>
      <c r="D4" s="3" t="inlineStr">
        <is>
          <t>0151 482 9230</t>
        </is>
      </c>
      <c r="E4" s="8" t="inlineStr">
        <is>
          <t>https://suppliers.multiquote.com</t>
        </is>
      </c>
      <c r="F4" s="3" t="inlineStr">
        <is>
          <t>Chichester Campus, Westgate Fields, Chichester, PO19 1SB</t>
        </is>
      </c>
      <c r="G4" s="3" t="n"/>
      <c r="H4" s="2" t="n">
        <v>1</v>
      </c>
      <c r="I4" s="3" t="inlineStr">
        <is>
          <t>CA18436 - Provision of PPA funded Solar PV Roof Array with battery storage</t>
        </is>
      </c>
    </row>
    <row r="5">
      <c r="A5" s="3" t="inlineStr">
        <is>
          <t>Government Commercial Agency</t>
        </is>
      </c>
      <c r="B5" s="3" t="n"/>
      <c r="C5" s="3" t="inlineStr">
        <is>
          <t>info@gca.gov.uk</t>
        </is>
      </c>
      <c r="D5" s="3" t="inlineStr">
        <is>
          <t>0345 410 2222</t>
        </is>
      </c>
      <c r="E5" s="3" t="n"/>
      <c r="F5" s="3" t="inlineStr">
        <is>
          <t>39 Old Hall Street, Liverpool, L39PP</t>
        </is>
      </c>
      <c r="G5" s="3" t="n"/>
      <c r="H5" s="2" t="n">
        <v>1</v>
      </c>
      <c r="I5" s="3" t="inlineStr">
        <is>
          <t>The Provision of an Energy Portfolio Management System</t>
        </is>
      </c>
    </row>
    <row r="6">
      <c r="A6" s="3" t="inlineStr">
        <is>
          <t>PALLADIUM INTERNATIONAL LIMITED</t>
        </is>
      </c>
      <c r="B6" s="3" t="inlineStr">
        <is>
          <t>Tom Onions</t>
        </is>
      </c>
      <c r="C6" s="3" t="inlineStr">
        <is>
          <t>expertdeployments@ukpact.co.uk</t>
        </is>
      </c>
      <c r="D6" s="3" t="inlineStr">
        <is>
          <t>0000000000</t>
        </is>
      </c>
      <c r="E6" s="3" t="n"/>
      <c r="F6" s="3" t="inlineStr">
        <is>
          <t>Second Floor, LONDON, EC1Y8ND</t>
        </is>
      </c>
      <c r="G6" s="3" t="n"/>
      <c r="H6" s="2" t="n">
        <v>1</v>
      </c>
      <c r="I6" s="3" t="inlineStr">
        <is>
          <t>​​Renewable Energy Certification Integration in ASEAN​</t>
        </is>
      </c>
    </row>
    <row r="7">
      <c r="A7" s="3" t="inlineStr">
        <is>
          <t>Partick Housing Association Ltd.</t>
        </is>
      </c>
      <c r="B7" s="3" t="n"/>
      <c r="C7" s="3" t="inlineStr">
        <is>
          <t>CHowe@partickha.org.uk</t>
        </is>
      </c>
      <c r="D7" s="3" t="inlineStr">
        <is>
          <t>+44 1413573773</t>
        </is>
      </c>
      <c r="E7" s="8" t="inlineStr">
        <is>
          <t>http://www.publiccontractsscotland.gov.uk</t>
        </is>
      </c>
      <c r="F7" s="3" t="inlineStr">
        <is>
          <t>10 Mansfield Street, Glasgow, UKM82, G11 5QP</t>
        </is>
      </c>
      <c r="G7" s="3" t="inlineStr">
        <is>
          <t>UKM82, Partick.</t>
        </is>
      </c>
      <c r="H7" s="2" t="n">
        <v>1</v>
      </c>
      <c r="I7" s="3" t="inlineStr">
        <is>
          <t>Partick Housing Association - Gutter Cleaning, Solar Cleaning &amp; Roof Inspection Works (2026-2029)</t>
        </is>
      </c>
    </row>
    <row r="8">
      <c r="A8" s="3" t="inlineStr">
        <is>
          <t>Renfrewshire Council</t>
        </is>
      </c>
      <c r="B8" s="3" t="inlineStr">
        <is>
          <t>Kevin Milliken</t>
        </is>
      </c>
      <c r="C8" s="3" t="inlineStr">
        <is>
          <t>kevin.milliken@renfrewshire.gov.uk</t>
        </is>
      </c>
      <c r="D8" s="3" t="inlineStr">
        <is>
          <t>+44 3003000300</t>
        </is>
      </c>
      <c r="E8" s="8" t="inlineStr">
        <is>
          <t>https://www.publictenderscotland.publiccontractsscotland.gov.uk/</t>
        </is>
      </c>
      <c r="F8" s="3" t="inlineStr">
        <is>
          <t>Renfrewshire House, Cotton Street, Paisley, UKM83, PA1 1JB</t>
        </is>
      </c>
      <c r="G8" s="3" t="inlineStr">
        <is>
          <t>UKM83, Renfrewshire</t>
        </is>
      </c>
      <c r="H8" s="2" t="n">
        <v>1</v>
      </c>
      <c r="I8" s="3" t="inlineStr">
        <is>
          <t>Net Zero - Retrofit Works (Externals) - Design and Build</t>
        </is>
      </c>
    </row>
    <row r="9">
      <c r="A9" s="3" t="inlineStr">
        <is>
          <t>Rochdale Boroughwide Housing</t>
        </is>
      </c>
      <c r="B9" s="3" t="inlineStr">
        <is>
          <t>Lewis Tomlinson</t>
        </is>
      </c>
      <c r="C9" s="3" t="inlineStr">
        <is>
          <t>Lewis.Tomlinson@rbh.org.uk</t>
        </is>
      </c>
      <c r="D9" s="3" t="inlineStr">
        <is>
          <t>+44 1706273778</t>
        </is>
      </c>
      <c r="E9" s="8" t="inlineStr">
        <is>
          <t>http://www.rbhousing.org.uk/</t>
        </is>
      </c>
      <c r="F9" s="3" t="inlineStr">
        <is>
          <t>Unique Enterprise Centre, Rochdale, OL162UP</t>
        </is>
      </c>
      <c r="G9" s="3" t="inlineStr">
        <is>
          <t>England</t>
        </is>
      </c>
      <c r="H9" s="2" t="n">
        <v>1</v>
      </c>
      <c r="I9" s="3" t="inlineStr">
        <is>
          <t>Non-Domestic EPCs</t>
        </is>
      </c>
    </row>
    <row r="10">
      <c r="A10" s="3" t="inlineStr">
        <is>
          <t>Scottish Government</t>
        </is>
      </c>
      <c r="B10" s="3" t="n"/>
      <c r="C10" s="3" t="inlineStr">
        <is>
          <t>Paul.packett@gov.scot</t>
        </is>
      </c>
      <c r="D10" s="3" t="n"/>
      <c r="E10" s="8" t="inlineStr">
        <is>
          <t>http://www.publictendersscotland.publiccontractsscotland.gov.uk</t>
        </is>
      </c>
      <c r="F10" s="3" t="inlineStr">
        <is>
          <t>5 Atlantic Quay, 150 Broomielaw, Glasgow, UKM, G2 8LU</t>
        </is>
      </c>
      <c r="G10" s="3" t="inlineStr">
        <is>
          <t>UK</t>
        </is>
      </c>
      <c r="H10" s="2" t="n">
        <v>1</v>
      </c>
      <c r="I10" s="3" t="inlineStr">
        <is>
          <t>Development of final EPC Wrapper for Scotland</t>
        </is>
      </c>
    </row>
    <row r="11">
      <c r="A11" s="3" t="inlineStr">
        <is>
          <t>Stirling Council</t>
        </is>
      </c>
      <c r="B11" s="3" t="n"/>
      <c r="C11" s="3" t="inlineStr">
        <is>
          <t>procurement@stirling.gov.uk</t>
        </is>
      </c>
      <c r="D11" s="3" t="inlineStr">
        <is>
          <t>+44 1786404040</t>
        </is>
      </c>
      <c r="E11" s="8" t="inlineStr">
        <is>
          <t>https://www.publictendersscotland.publiccontractsscotland.gov.uk</t>
        </is>
      </c>
      <c r="F11" s="3" t="inlineStr">
        <is>
          <t>Procurement, Teith House, Stirling, UKM77, FK7 7QA</t>
        </is>
      </c>
      <c r="G11" s="3" t="inlineStr">
        <is>
          <t>UKM77</t>
        </is>
      </c>
      <c r="H11" s="2" t="n">
        <v>1</v>
      </c>
      <c r="I11" s="3" t="inlineStr">
        <is>
          <t>EV Infrastructure Back Office</t>
        </is>
      </c>
    </row>
    <row r="12">
      <c r="A12" s="3" t="inlineStr">
        <is>
          <t>Trafford Council</t>
        </is>
      </c>
      <c r="B12" s="3" t="inlineStr">
        <is>
          <t>Tim Kulewa</t>
        </is>
      </c>
      <c r="C12" s="3" t="inlineStr">
        <is>
          <t>tim.kulewa@star-procurement.gov.uk</t>
        </is>
      </c>
      <c r="D12" s="3" t="inlineStr">
        <is>
          <t>+44 1619121616</t>
        </is>
      </c>
      <c r="E12" s="8" t="inlineStr">
        <is>
          <t>http://www.trafford.gov.uk/</t>
        </is>
      </c>
      <c r="F12" s="3" t="inlineStr">
        <is>
          <t>1st Floor, Trafford Town Hall, Stretford, M32 0TH</t>
        </is>
      </c>
      <c r="G12" s="3" t="inlineStr">
        <is>
          <t>England</t>
        </is>
      </c>
      <c r="H12" s="2" t="n">
        <v>1</v>
      </c>
      <c r="I12" s="3" t="inlineStr">
        <is>
          <t>Children and Young People's Residential Placements Flexible Procurement System (Round 19)</t>
        </is>
      </c>
    </row>
    <row r="13">
      <c r="A13" s="3" t="inlineStr">
        <is>
          <t>University of Dundee</t>
        </is>
      </c>
      <c r="B13" s="3" t="inlineStr">
        <is>
          <t>Stewart Hamilton Kerr</t>
        </is>
      </c>
      <c r="C13" s="3" t="inlineStr">
        <is>
          <t>s.v.kerr@dundee.ac.uk</t>
        </is>
      </c>
      <c r="D13" s="3" t="inlineStr">
        <is>
          <t>+44 1382386810</t>
        </is>
      </c>
      <c r="E13" s="8" t="inlineStr">
        <is>
          <t>http://www.publiccontractsscotland.gov.uk</t>
        </is>
      </c>
      <c r="F13" s="3" t="inlineStr">
        <is>
          <t>Procurement, 3rd Floor, Tower Building, Nethergate, Dundee, UKM71, DD1 4HN</t>
        </is>
      </c>
      <c r="G13" s="3" t="inlineStr">
        <is>
          <t>UKM71, Dundee</t>
        </is>
      </c>
      <c r="H13" s="2" t="n">
        <v>1</v>
      </c>
      <c r="I13" s="3" t="inlineStr">
        <is>
          <t>EV Charging Infrastructure</t>
        </is>
      </c>
    </row>
  </sheetData>
  <autoFilter ref="A1:I13"/>
  <hyperlinks>
    <hyperlink xmlns:r="http://schemas.openxmlformats.org/officeDocument/2006/relationships" ref="E4" r:id="rId1"/>
    <hyperlink xmlns:r="http://schemas.openxmlformats.org/officeDocument/2006/relationships" ref="E7" r:id="rId2"/>
    <hyperlink xmlns:r="http://schemas.openxmlformats.org/officeDocument/2006/relationships" ref="E8" r:id="rId3"/>
    <hyperlink xmlns:r="http://schemas.openxmlformats.org/officeDocument/2006/relationships" ref="E9" r:id="rId4"/>
    <hyperlink xmlns:r="http://schemas.openxmlformats.org/officeDocument/2006/relationships" ref="E10" r:id="rId5"/>
    <hyperlink xmlns:r="http://schemas.openxmlformats.org/officeDocument/2006/relationships" ref="E11" r:id="rId6"/>
    <hyperlink xmlns:r="http://schemas.openxmlformats.org/officeDocument/2006/relationships" ref="E12" r:id="rId7"/>
    <hyperlink xmlns:r="http://schemas.openxmlformats.org/officeDocument/2006/relationships" ref="E13" r:id="rId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22" customWidth="1" min="1" max="1"/>
    <col width="110" customWidth="1" min="2" max="2"/>
  </cols>
  <sheetData>
    <row r="1">
      <c r="A1" s="9" t="inlineStr">
        <is>
          <t>Generated</t>
        </is>
      </c>
      <c r="B1" s="10" t="inlineStr">
        <is>
          <t>06 Oct 2026 08:35</t>
        </is>
      </c>
    </row>
    <row r="2">
      <c r="A2" s="9" t="inlineStr">
        <is>
          <t>Window</t>
        </is>
      </c>
      <c r="B2" s="10" t="inlineStr">
        <is>
          <t>Last 45 days (tenders/pipeline)</t>
        </is>
      </c>
    </row>
    <row r="3">
      <c r="A3" s="9" t="inlineStr">
        <is>
          <t>Sources</t>
        </is>
      </c>
      <c r="B3" s="10" t="inlineStr">
        <is>
          <t>Find a Tender Service + Contracts Finder (official OCDS APIs)</t>
        </is>
      </c>
    </row>
    <row r="4">
      <c r="A4" s="9" t="inlineStr">
        <is>
          <t>Minimum score</t>
        </is>
      </c>
      <c r="B4" s="10" t="n">
        <v>4</v>
      </c>
    </row>
    <row r="5">
      <c r="A5" s="9" t="inlineStr">
        <is>
          <t>Region filter</t>
        </is>
      </c>
      <c r="B5" s="10" t="inlineStr">
        <is>
          <t>None</t>
        </is>
      </c>
    </row>
    <row r="6">
      <c r="A6" s="9" t="inlineStr">
        <is>
          <t>Opportunities</t>
        </is>
      </c>
      <c r="B6" s="10" t="n">
        <v>13</v>
      </c>
    </row>
    <row r="7">
      <c r="A7" s="9" t="inlineStr">
        <is>
          <t>Score</t>
        </is>
      </c>
      <c r="B7" s="10" t="inlineStr">
        <is>
          <t>Keyword hits in title (x4, max 3) + description (x1, max 4) + best CPV weight</t>
        </is>
      </c>
    </row>
    <row r="8">
      <c r="A8" s="9" t="inlineStr">
        <is>
          <t>Days left</t>
        </is>
      </c>
      <c r="B8" s="10" t="inlineStr">
        <is>
          <t>Green = more than 14 days, amber = 14 days or fewer, red = closed</t>
        </is>
      </c>
    </row>
    <row r="9">
      <c r="A9" s="9" t="inlineStr">
        <is>
          <t>Stage</t>
        </is>
      </c>
      <c r="B9" s="10" t="inlineStr">
        <is>
          <t>'planning' = pipeline / early market engagement notice - tender not yet live</t>
        </is>
      </c>
    </row>
    <row r="10">
      <c r="A10" s="9" t="inlineStr">
        <is>
          <t>Contacting buyers</t>
        </is>
      </c>
      <c r="B10" s="10" t="inlineStr">
        <is>
          <t>During a live tender, use the portal's clarification route only - canvassing the buyer outside it can disqualify a bid.</t>
        </is>
      </c>
    </row>
    <row r="11">
      <c r="A11" s="9" t="inlineStr">
        <is>
          <t>Full ITT documents</t>
        </is>
      </c>
      <c r="B11" s="10" t="inlineStr">
        <is>
          <t>Usually held on the buyer's e-tendering portal (see 'Tender portal' / 'Notice link'); registration is often required.</t>
        </is>
      </c>
    </row>
    <row r="12">
      <c r="A12" s="9" t="inlineStr">
        <is>
          <t>Tuning</t>
        </is>
      </c>
      <c r="B12" s="10" t="inlineStr">
        <is>
          <t>Edit KEYWORD_GROUPS, EXCLUDE_KEYWORDS and CPV_WEIGHTS at the top of the script.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2026-10-06T08:35:03Z</dcterms:created>
  <dcterms:modified xsi:type="dcterms:W3CDTF">2026-10-06T08:35:03Z</dcterms:modified>
</cp:coreProperties>
</file>